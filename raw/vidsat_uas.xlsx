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iffatah17\Documents\"/>
    </mc:Choice>
  </mc:AlternateContent>
  <xr:revisionPtr revIDLastSave="0" documentId="13_ncr:2001_{AC89D690-5A73-452A-AA0B-A1218805F938}" xr6:coauthVersionLast="47" xr6:coauthVersionMax="47" xr10:uidLastSave="{00000000-0000-0000-0000-000000000000}"/>
  <bookViews>
    <workbookView xWindow="-108" yWindow="-108" windowWidth="23256" windowHeight="12456" activeTab="5" xr2:uid="{72543DA4-8EC9-4A63-96BC-C625BFDC6109}"/>
  </bookViews>
  <sheets>
    <sheet name="negara_asal" sheetId="1" r:id="rId1"/>
    <sheet name="Pintu_masuk" sheetId="2" r:id="rId2"/>
    <sheet name="edges_sankey" sheetId="3" r:id="rId3"/>
    <sheet name="hirarki_pdrb" sheetId="4" r:id="rId4"/>
    <sheet name="hirarki_wilayah" sheetId="5" r:id="rId5"/>
    <sheet name="Sheet1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6" l="1"/>
  <c r="E9" i="6"/>
  <c r="E8" i="6"/>
  <c r="E7" i="6"/>
  <c r="E6" i="6"/>
  <c r="E5" i="6"/>
  <c r="E3" i="6"/>
  <c r="E4" i="6"/>
  <c r="E2" i="6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2" i="3"/>
  <c r="C4" i="2"/>
  <c r="D4" i="2"/>
  <c r="E4" i="2"/>
  <c r="F4" i="2"/>
  <c r="G4" i="2"/>
  <c r="H4" i="2"/>
  <c r="B4" i="2"/>
</calcChain>
</file>

<file path=xl/sharedStrings.xml><?xml version="1.0" encoding="utf-8"?>
<sst xmlns="http://schemas.openxmlformats.org/spreadsheetml/2006/main" count="2874" uniqueCount="83">
  <si>
    <t>Kawasan</t>
  </si>
  <si>
    <t>Negara (kebangsaan)</t>
  </si>
  <si>
    <t>Australia</t>
  </si>
  <si>
    <t>India</t>
  </si>
  <si>
    <t>Asia Pasifik</t>
  </si>
  <si>
    <t>China</t>
  </si>
  <si>
    <t>Korea Selatan</t>
  </si>
  <si>
    <t>Jepang</t>
  </si>
  <si>
    <t>Taiwan</t>
  </si>
  <si>
    <t>ASEAN</t>
  </si>
  <si>
    <t>Malaysia</t>
  </si>
  <si>
    <t>Singapore</t>
  </si>
  <si>
    <t>Philippines</t>
  </si>
  <si>
    <t>Thailand</t>
  </si>
  <si>
    <t>Vietnam</t>
  </si>
  <si>
    <t>Myanmar</t>
  </si>
  <si>
    <t>Cambodia</t>
  </si>
  <si>
    <t>Laos</t>
  </si>
  <si>
    <t>Brunei Darussalam</t>
  </si>
  <si>
    <t>Eropa</t>
  </si>
  <si>
    <t>United Kingdom</t>
  </si>
  <si>
    <t>France</t>
  </si>
  <si>
    <t>Germany</t>
  </si>
  <si>
    <t>Russia</t>
  </si>
  <si>
    <t>Netherlands</t>
  </si>
  <si>
    <t>Italy</t>
  </si>
  <si>
    <t>Spain</t>
  </si>
  <si>
    <t>Amerika</t>
  </si>
  <si>
    <t>United States</t>
  </si>
  <si>
    <t>Canada</t>
  </si>
  <si>
    <t>Afrika</t>
  </si>
  <si>
    <t>Afrika Selatan</t>
  </si>
  <si>
    <t xml:space="preserve">  37, 043</t>
  </si>
  <si>
    <t>Pintu Masuk</t>
  </si>
  <si>
    <t>Udara</t>
  </si>
  <si>
    <t>Pangsa Laut</t>
  </si>
  <si>
    <t>Total</t>
  </si>
  <si>
    <t>Source</t>
  </si>
  <si>
    <t>Tahun</t>
  </si>
  <si>
    <t>Destination</t>
  </si>
  <si>
    <t>Year</t>
  </si>
  <si>
    <t>Value</t>
  </si>
  <si>
    <t>Bali</t>
  </si>
  <si>
    <t>Concatenate</t>
  </si>
  <si>
    <t>Kota</t>
  </si>
  <si>
    <t>Kelompok Sektor</t>
  </si>
  <si>
    <t>Kategori/Sektor</t>
  </si>
  <si>
    <t>Nilai PDRB</t>
  </si>
  <si>
    <t>Denpasar</t>
  </si>
  <si>
    <t>Primer</t>
  </si>
  <si>
    <t>Pertanian, Kehutanan, dan Perikanan</t>
  </si>
  <si>
    <t>Pertambangan dan Penggalian</t>
  </si>
  <si>
    <t>Sekunder</t>
  </si>
  <si>
    <t>Industri Pengolahan</t>
  </si>
  <si>
    <t>Pengadaan Listrik dan Gas</t>
  </si>
  <si>
    <t>Pengadaan Air, Pengelolaan Sampah</t>
  </si>
  <si>
    <t>Konstruksi</t>
  </si>
  <si>
    <t>Tersier</t>
  </si>
  <si>
    <t>Perdagangan Besar dan Eceran</t>
  </si>
  <si>
    <t>Transportasi dan Pergudangan</t>
  </si>
  <si>
    <t>Penyediaan Akomodasi dan Makan Minum</t>
  </si>
  <si>
    <t>Informasi dan Komunikasi</t>
  </si>
  <si>
    <t>Jasa Keuangan dan Asuransi</t>
  </si>
  <si>
    <t>Real Estate</t>
  </si>
  <si>
    <t>Jasa Perusahaan</t>
  </si>
  <si>
    <t>Administrasi Pemerintahan, Pertahanan</t>
  </si>
  <si>
    <t>Jasa Pendidikan</t>
  </si>
  <si>
    <t>Jasa Kesehatan dan Kegiatan Sosial</t>
  </si>
  <si>
    <t>Jasa Lainnya</t>
  </si>
  <si>
    <t>Badung</t>
  </si>
  <si>
    <t>Bangli</t>
  </si>
  <si>
    <t>Buleleng</t>
  </si>
  <si>
    <t>Gianyar</t>
  </si>
  <si>
    <t>Jembrana</t>
  </si>
  <si>
    <t>Karangasem</t>
  </si>
  <si>
    <t>Klungkung</t>
  </si>
  <si>
    <t>Jumlah wisman</t>
  </si>
  <si>
    <t>Negara</t>
  </si>
  <si>
    <t>Kabupaten/Kota</t>
  </si>
  <si>
    <t>PDRB  Total</t>
  </si>
  <si>
    <t>PDRB  Akomodasi makan dan minum</t>
  </si>
  <si>
    <t>Share (%)</t>
  </si>
  <si>
    <t>Tabanan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</si>
</sst>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;\-#,##0;\-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0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3" fontId="0" fillId="0" borderId="0" xfId="0" applyNumberFormat="1"/>
    <xf numFmtId="3" fontId="4" fillId="0" borderId="0" xfId="9" applyNumberFormat="1"/>
    <xf numFmtId="0" fontId="4" fillId="0" borderId="0" xfId="9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2" fontId="0" fillId="0" borderId="0" xfId="0" applyNumberFormat="1"/>
    <xf numFmtId="4" fontId="0" fillId="0" borderId="0" xfId="0" applyNumberFormat="1"/>
    <xf numFmtId="2" fontId="0" fillId="0" borderId="0" xfId="0" applyNumberFormat="1" applyFill="1" applyBorder="1"/>
  </cellXfs>
  <cellStyles count="10">
    <cellStyle name="Comma 2" xfId="2" xr:uid="{46DF41F7-1508-4A02-B6B9-EF5BD19CB067}"/>
    <cellStyle name="Hyperlink 2" xfId="3" xr:uid="{6B532E54-90A6-4C13-92B6-5F83E9957820}"/>
    <cellStyle name="Normal" xfId="0" builtinId="0"/>
    <cellStyle name="Normal 11" xfId="4" xr:uid="{7F22D136-4F59-4171-9DD2-8A2B3FF33984}"/>
    <cellStyle name="Normal 2" xfId="5" xr:uid="{49895F20-AA76-4C00-B822-789CF61B2463}"/>
    <cellStyle name="Normal 3" xfId="1" xr:uid="{005A9A61-0B39-4E9E-8AB0-C4393B9C7D83}"/>
    <cellStyle name="Normal 4" xfId="9" xr:uid="{D5709761-7812-46E4-9140-7CC1EA4AA728}"/>
    <cellStyle name="Normal 6" xfId="6" xr:uid="{C7A4AA6A-D8AF-426C-89C2-170C4C3AD5BD}"/>
    <cellStyle name="Normal 7" xfId="7" xr:uid="{6C4D529C-1AB4-4028-9AFE-38B81F5CAA09}"/>
    <cellStyle name="Percent 2" xfId="8" xr:uid="{093CC20D-3AB9-4F92-8D7D-3AA55204E3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33F8-E3B5-4B79-BA08-A5F647737BAF}">
  <dimension ref="A1:J26"/>
  <sheetViews>
    <sheetView zoomScale="82" zoomScaleNormal="82" workbookViewId="0">
      <selection activeCell="I2" sqref="I2:I26"/>
    </sheetView>
  </sheetViews>
  <sheetFormatPr defaultRowHeight="14.4" x14ac:dyDescent="0.3"/>
  <cols>
    <col min="1" max="1" width="21.5546875" customWidth="1"/>
    <col min="2" max="2" width="19.44140625" customWidth="1"/>
    <col min="7" max="7" width="11.88671875" customWidth="1"/>
    <col min="8" max="8" width="12.77734375" customWidth="1"/>
    <col min="9" max="9" width="13" customWidth="1"/>
  </cols>
  <sheetData>
    <row r="1" spans="1:10" ht="26.4" x14ac:dyDescent="0.3">
      <c r="A1" s="1" t="s">
        <v>0</v>
      </c>
      <c r="B1" s="1" t="s">
        <v>1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</row>
    <row r="2" spans="1:10" x14ac:dyDescent="0.3">
      <c r="A2" s="2" t="s">
        <v>4</v>
      </c>
      <c r="B2" s="2" t="s">
        <v>2</v>
      </c>
      <c r="C2" s="5">
        <v>1241128</v>
      </c>
      <c r="D2" s="5">
        <v>226945</v>
      </c>
      <c r="E2" s="3">
        <v>3</v>
      </c>
      <c r="F2" s="3">
        <v>605955</v>
      </c>
      <c r="G2" s="3">
        <v>1324410</v>
      </c>
      <c r="H2" s="3">
        <v>1544141</v>
      </c>
      <c r="I2" s="3">
        <v>1628459</v>
      </c>
      <c r="J2" s="4"/>
    </row>
    <row r="3" spans="1:10" x14ac:dyDescent="0.3">
      <c r="A3" s="2" t="s">
        <v>4</v>
      </c>
      <c r="B3" t="s">
        <v>3</v>
      </c>
      <c r="C3" t="s">
        <v>32</v>
      </c>
      <c r="D3" s="5">
        <v>68199</v>
      </c>
      <c r="E3">
        <v>0</v>
      </c>
      <c r="F3" s="3">
        <v>181888</v>
      </c>
      <c r="G3" s="3">
        <v>440415</v>
      </c>
      <c r="H3" s="3">
        <v>550379</v>
      </c>
      <c r="I3" s="3">
        <v>569261</v>
      </c>
    </row>
    <row r="4" spans="1:10" x14ac:dyDescent="0.3">
      <c r="A4" t="s">
        <v>4</v>
      </c>
      <c r="B4" t="s">
        <v>5</v>
      </c>
      <c r="C4" s="5">
        <v>1186057</v>
      </c>
      <c r="D4" s="5">
        <v>118617</v>
      </c>
      <c r="E4">
        <v>12</v>
      </c>
      <c r="F4" s="3">
        <v>33087</v>
      </c>
      <c r="G4" s="3">
        <v>280111</v>
      </c>
      <c r="H4" s="3">
        <v>448446</v>
      </c>
      <c r="I4" s="3">
        <v>537375</v>
      </c>
    </row>
    <row r="5" spans="1:10" x14ac:dyDescent="0.3">
      <c r="A5" t="s">
        <v>4</v>
      </c>
      <c r="B5" t="s">
        <v>6</v>
      </c>
      <c r="C5" s="5">
        <v>213356</v>
      </c>
      <c r="D5" s="5">
        <v>42856</v>
      </c>
      <c r="E5">
        <v>0</v>
      </c>
      <c r="F5" s="3">
        <v>63037</v>
      </c>
      <c r="G5" s="3">
        <v>226789</v>
      </c>
      <c r="H5" s="3">
        <v>294024</v>
      </c>
      <c r="I5" s="3">
        <v>346679</v>
      </c>
    </row>
    <row r="6" spans="1:10" x14ac:dyDescent="0.3">
      <c r="A6" t="s">
        <v>4</v>
      </c>
      <c r="B6" t="s">
        <v>7</v>
      </c>
      <c r="C6" s="5">
        <v>257959</v>
      </c>
      <c r="D6" s="5">
        <v>48800</v>
      </c>
      <c r="E6" s="3">
        <v>14</v>
      </c>
      <c r="F6" s="3">
        <v>20021</v>
      </c>
      <c r="G6" s="3">
        <v>116232</v>
      </c>
      <c r="H6" s="3">
        <v>176856</v>
      </c>
      <c r="I6" s="3">
        <v>208615</v>
      </c>
    </row>
    <row r="7" spans="1:10" x14ac:dyDescent="0.3">
      <c r="A7" t="s">
        <v>4</v>
      </c>
      <c r="B7" t="s">
        <v>8</v>
      </c>
      <c r="C7" s="5">
        <v>107366</v>
      </c>
      <c r="D7" s="5">
        <v>18435</v>
      </c>
      <c r="E7">
        <v>0</v>
      </c>
      <c r="F7" s="3">
        <v>8400</v>
      </c>
      <c r="G7" s="3">
        <v>83942</v>
      </c>
      <c r="H7" s="3">
        <v>103509</v>
      </c>
      <c r="I7" s="3">
        <v>118861</v>
      </c>
    </row>
    <row r="8" spans="1:10" x14ac:dyDescent="0.3">
      <c r="A8" s="2" t="s">
        <v>9</v>
      </c>
      <c r="B8" s="2" t="s">
        <v>10</v>
      </c>
      <c r="C8" s="5">
        <v>184892</v>
      </c>
      <c r="D8" s="5">
        <v>31587</v>
      </c>
      <c r="E8">
        <v>0</v>
      </c>
      <c r="F8" s="3">
        <v>91058</v>
      </c>
      <c r="G8" s="3">
        <v>207843</v>
      </c>
      <c r="H8" s="3">
        <v>246145</v>
      </c>
      <c r="I8" s="3">
        <v>251156</v>
      </c>
    </row>
    <row r="9" spans="1:10" x14ac:dyDescent="0.3">
      <c r="A9" s="2" t="s">
        <v>9</v>
      </c>
      <c r="B9" s="2" t="s">
        <v>11</v>
      </c>
      <c r="C9" s="5">
        <v>163377</v>
      </c>
      <c r="D9" s="5">
        <v>23463</v>
      </c>
      <c r="E9">
        <v>1</v>
      </c>
      <c r="F9" s="3">
        <v>129088</v>
      </c>
      <c r="G9" s="3">
        <v>236203</v>
      </c>
      <c r="H9" s="3">
        <v>218926</v>
      </c>
      <c r="I9" s="3">
        <v>211331</v>
      </c>
    </row>
    <row r="10" spans="1:10" x14ac:dyDescent="0.3">
      <c r="A10" s="2" t="s">
        <v>9</v>
      </c>
      <c r="B10" s="2" t="s">
        <v>12</v>
      </c>
      <c r="C10" s="5">
        <v>106902</v>
      </c>
      <c r="D10" s="5">
        <v>1642</v>
      </c>
      <c r="E10">
        <v>8</v>
      </c>
      <c r="F10" s="3">
        <v>30559</v>
      </c>
      <c r="G10" s="3">
        <v>93481</v>
      </c>
      <c r="H10" s="3">
        <v>103665</v>
      </c>
      <c r="I10" s="3">
        <v>105771</v>
      </c>
    </row>
    <row r="11" spans="1:10" x14ac:dyDescent="0.3">
      <c r="A11" s="2" t="s">
        <v>9</v>
      </c>
      <c r="B11" s="2" t="s">
        <v>13</v>
      </c>
      <c r="C11" s="5">
        <v>61083</v>
      </c>
      <c r="D11" s="5">
        <v>7953</v>
      </c>
      <c r="E11">
        <v>0</v>
      </c>
      <c r="F11" s="3">
        <v>17601</v>
      </c>
      <c r="G11" s="3">
        <v>44429</v>
      </c>
      <c r="H11" s="3">
        <v>41483</v>
      </c>
      <c r="I11" s="3">
        <v>43538</v>
      </c>
    </row>
    <row r="12" spans="1:10" x14ac:dyDescent="0.3">
      <c r="A12" s="2" t="s">
        <v>9</v>
      </c>
      <c r="B12" s="2" t="s">
        <v>14</v>
      </c>
      <c r="C12" s="5">
        <v>39478</v>
      </c>
      <c r="D12" s="5">
        <v>11330</v>
      </c>
      <c r="E12">
        <v>0</v>
      </c>
      <c r="F12" s="3">
        <v>39289</v>
      </c>
      <c r="G12" s="3">
        <v>72017</v>
      </c>
      <c r="H12" s="3">
        <v>55215</v>
      </c>
      <c r="I12" s="3">
        <v>43349</v>
      </c>
    </row>
    <row r="13" spans="1:10" x14ac:dyDescent="0.3">
      <c r="A13" s="2" t="s">
        <v>9</v>
      </c>
      <c r="B13" s="2" t="s">
        <v>15</v>
      </c>
      <c r="C13" s="5">
        <v>10584</v>
      </c>
      <c r="D13" s="5">
        <v>1809</v>
      </c>
      <c r="E13">
        <v>0</v>
      </c>
      <c r="F13" s="3">
        <v>3179</v>
      </c>
      <c r="G13" s="3">
        <v>9245</v>
      </c>
      <c r="H13" s="3">
        <v>9710</v>
      </c>
      <c r="I13" s="3">
        <v>11188</v>
      </c>
    </row>
    <row r="14" spans="1:10" x14ac:dyDescent="0.3">
      <c r="A14" s="2" t="s">
        <v>9</v>
      </c>
      <c r="B14" s="2" t="s">
        <v>16</v>
      </c>
      <c r="C14" s="5">
        <v>8434</v>
      </c>
      <c r="D14" s="5">
        <v>1204</v>
      </c>
      <c r="E14">
        <v>0</v>
      </c>
      <c r="F14" s="3">
        <v>2294</v>
      </c>
      <c r="G14" s="3">
        <v>6075</v>
      </c>
      <c r="H14" s="3">
        <v>4640</v>
      </c>
      <c r="I14" s="3">
        <v>4210</v>
      </c>
    </row>
    <row r="15" spans="1:10" x14ac:dyDescent="0.3">
      <c r="A15" s="2" t="s">
        <v>9</v>
      </c>
      <c r="B15" s="2" t="s">
        <v>17</v>
      </c>
      <c r="C15" s="5">
        <v>1203</v>
      </c>
      <c r="D15">
        <v>206</v>
      </c>
      <c r="E15">
        <v>0</v>
      </c>
      <c r="F15" s="3">
        <v>107</v>
      </c>
      <c r="G15" s="3">
        <v>888</v>
      </c>
      <c r="H15" s="3">
        <v>793</v>
      </c>
      <c r="I15" s="3">
        <v>647</v>
      </c>
    </row>
    <row r="16" spans="1:10" x14ac:dyDescent="0.3">
      <c r="A16" s="2" t="s">
        <v>9</v>
      </c>
      <c r="B16" s="2" t="s">
        <v>18</v>
      </c>
      <c r="C16" s="5">
        <v>3674</v>
      </c>
      <c r="D16">
        <v>679</v>
      </c>
      <c r="E16">
        <v>0</v>
      </c>
      <c r="F16" s="3">
        <v>160</v>
      </c>
      <c r="G16" s="3">
        <v>1288</v>
      </c>
      <c r="H16" s="3">
        <v>479</v>
      </c>
      <c r="I16" s="3">
        <v>467</v>
      </c>
    </row>
    <row r="17" spans="1:9" x14ac:dyDescent="0.3">
      <c r="A17" s="2" t="s">
        <v>19</v>
      </c>
      <c r="B17" s="2" t="s">
        <v>20</v>
      </c>
      <c r="C17" s="5">
        <v>287258</v>
      </c>
      <c r="D17" s="5">
        <v>47680</v>
      </c>
      <c r="E17">
        <v>0</v>
      </c>
      <c r="F17" s="3">
        <v>126893</v>
      </c>
      <c r="G17" s="3">
        <v>256359</v>
      </c>
      <c r="H17" s="3">
        <v>295326</v>
      </c>
      <c r="I17" s="3">
        <v>317523</v>
      </c>
    </row>
    <row r="18" spans="1:9" x14ac:dyDescent="0.3">
      <c r="A18" s="2" t="s">
        <v>19</v>
      </c>
      <c r="B18" s="2" t="s">
        <v>21</v>
      </c>
      <c r="C18" s="5">
        <v>206941</v>
      </c>
      <c r="D18" s="5">
        <v>29786</v>
      </c>
      <c r="E18">
        <v>0</v>
      </c>
      <c r="F18" s="3">
        <v>95510</v>
      </c>
      <c r="G18" s="3">
        <v>208253</v>
      </c>
      <c r="H18" s="3">
        <v>257504</v>
      </c>
      <c r="I18" s="3">
        <v>279117</v>
      </c>
    </row>
    <row r="19" spans="1:9" x14ac:dyDescent="0.3">
      <c r="A19" s="2" t="s">
        <v>19</v>
      </c>
      <c r="B19" s="2" t="s">
        <v>22</v>
      </c>
      <c r="C19" s="5">
        <v>196774</v>
      </c>
      <c r="D19" s="5">
        <v>29557</v>
      </c>
      <c r="E19">
        <v>0</v>
      </c>
      <c r="F19" s="3">
        <v>94516</v>
      </c>
      <c r="G19" s="3">
        <v>195727</v>
      </c>
      <c r="H19" s="3">
        <v>204641</v>
      </c>
      <c r="I19" s="3">
        <v>205927</v>
      </c>
    </row>
    <row r="20" spans="1:9" x14ac:dyDescent="0.3">
      <c r="A20" s="2" t="s">
        <v>19</v>
      </c>
      <c r="B20" s="2" t="s">
        <v>23</v>
      </c>
      <c r="C20" s="5">
        <v>143211</v>
      </c>
      <c r="D20" s="5">
        <v>57817</v>
      </c>
      <c r="E20">
        <v>3</v>
      </c>
      <c r="F20" s="3">
        <v>58031</v>
      </c>
      <c r="G20" s="3">
        <v>144104</v>
      </c>
      <c r="H20" s="3">
        <v>162097</v>
      </c>
      <c r="I20" s="3">
        <v>204130</v>
      </c>
    </row>
    <row r="21" spans="1:9" x14ac:dyDescent="0.3">
      <c r="A21" s="2" t="s">
        <v>19</v>
      </c>
      <c r="B21" s="2" t="s">
        <v>24</v>
      </c>
      <c r="C21" s="5">
        <v>116330</v>
      </c>
      <c r="D21" s="5">
        <v>22474</v>
      </c>
      <c r="E21">
        <v>0</v>
      </c>
      <c r="F21" s="3">
        <v>55730</v>
      </c>
      <c r="G21" s="3">
        <v>121116</v>
      </c>
      <c r="H21" s="3">
        <v>138099</v>
      </c>
      <c r="I21" s="3">
        <v>134409</v>
      </c>
    </row>
    <row r="22" spans="1:9" x14ac:dyDescent="0.3">
      <c r="A22" s="2" t="s">
        <v>19</v>
      </c>
      <c r="B22" s="2" t="s">
        <v>25</v>
      </c>
      <c r="C22" s="5">
        <v>56374</v>
      </c>
      <c r="D22" s="5">
        <v>7249</v>
      </c>
      <c r="E22">
        <v>0</v>
      </c>
      <c r="F22" s="3">
        <v>27729</v>
      </c>
      <c r="G22" s="3">
        <v>69974</v>
      </c>
      <c r="H22" s="3">
        <v>88416</v>
      </c>
      <c r="I22" s="3">
        <v>98233</v>
      </c>
    </row>
    <row r="23" spans="1:9" x14ac:dyDescent="0.3">
      <c r="A23" s="2" t="s">
        <v>19</v>
      </c>
      <c r="B23" s="2" t="s">
        <v>26</v>
      </c>
      <c r="C23" s="5">
        <v>56431</v>
      </c>
      <c r="D23" s="5">
        <v>7727</v>
      </c>
      <c r="E23">
        <v>0</v>
      </c>
      <c r="F23" s="3">
        <v>24843</v>
      </c>
      <c r="G23" s="3">
        <v>62946</v>
      </c>
      <c r="H23" s="3">
        <v>79665</v>
      </c>
      <c r="I23" s="3">
        <v>90247</v>
      </c>
    </row>
    <row r="24" spans="1:9" x14ac:dyDescent="0.3">
      <c r="A24" s="2" t="s">
        <v>27</v>
      </c>
      <c r="B24" s="2" t="s">
        <v>28</v>
      </c>
      <c r="C24" s="5">
        <v>276859</v>
      </c>
      <c r="D24" s="5">
        <v>47996</v>
      </c>
      <c r="E24">
        <v>9</v>
      </c>
      <c r="F24" s="3">
        <v>108132</v>
      </c>
      <c r="G24" s="3">
        <v>248983</v>
      </c>
      <c r="H24" s="3">
        <v>261863</v>
      </c>
      <c r="I24" s="3">
        <v>274611</v>
      </c>
    </row>
    <row r="25" spans="1:9" x14ac:dyDescent="0.3">
      <c r="A25" s="2" t="s">
        <v>27</v>
      </c>
      <c r="B25" s="2" t="s">
        <v>29</v>
      </c>
      <c r="C25" s="5">
        <v>73690</v>
      </c>
      <c r="D25" s="5">
        <v>16706</v>
      </c>
      <c r="E25">
        <v>0</v>
      </c>
      <c r="F25" s="3">
        <v>24329</v>
      </c>
      <c r="G25" s="3">
        <v>59585</v>
      </c>
      <c r="H25" s="3">
        <v>62105</v>
      </c>
      <c r="I25" s="3">
        <v>69571</v>
      </c>
    </row>
    <row r="26" spans="1:9" x14ac:dyDescent="0.3">
      <c r="A26" s="2" t="s">
        <v>30</v>
      </c>
      <c r="B26" s="2" t="s">
        <v>31</v>
      </c>
      <c r="C26" s="5">
        <v>39772</v>
      </c>
      <c r="D26" s="5">
        <v>5803</v>
      </c>
      <c r="E26">
        <v>0</v>
      </c>
      <c r="F26" s="3">
        <v>10043</v>
      </c>
      <c r="G26" s="3">
        <v>28007</v>
      </c>
      <c r="H26" s="3">
        <v>29618</v>
      </c>
      <c r="I26" s="3">
        <v>32619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FE04-1427-4666-B6A3-1C06EB53584D}">
  <dimension ref="A1:H4"/>
  <sheetViews>
    <sheetView workbookViewId="0">
      <selection activeCell="G18" sqref="G18"/>
    </sheetView>
  </sheetViews>
  <sheetFormatPr defaultRowHeight="14.4" x14ac:dyDescent="0.3"/>
  <cols>
    <col min="1" max="1" width="13.77734375" customWidth="1"/>
    <col min="2" max="3" width="9.88671875" bestFit="1" customWidth="1"/>
    <col min="5" max="5" width="9.88671875" bestFit="1" customWidth="1"/>
  </cols>
  <sheetData>
    <row r="1" spans="1:8" x14ac:dyDescent="0.3">
      <c r="A1" s="1" t="s">
        <v>33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</row>
    <row r="2" spans="1:8" ht="15.6" x14ac:dyDescent="0.3">
      <c r="A2" t="s">
        <v>34</v>
      </c>
      <c r="B2" s="6">
        <v>6239543</v>
      </c>
      <c r="C2" s="6">
        <v>1059198</v>
      </c>
      <c r="D2" s="7">
        <v>42</v>
      </c>
      <c r="E2" s="6">
        <v>2154045</v>
      </c>
      <c r="F2" s="5">
        <v>5248113</v>
      </c>
      <c r="G2" s="5">
        <v>6308541</v>
      </c>
      <c r="H2" s="5">
        <v>6907585</v>
      </c>
    </row>
    <row r="3" spans="1:8" ht="15.6" x14ac:dyDescent="0.3">
      <c r="A3" t="s">
        <v>35</v>
      </c>
      <c r="B3" s="6">
        <v>35667</v>
      </c>
      <c r="C3" s="6">
        <v>10275</v>
      </c>
      <c r="D3" s="7">
        <v>8</v>
      </c>
      <c r="E3" s="6">
        <v>1702</v>
      </c>
      <c r="F3" s="5">
        <v>25145</v>
      </c>
      <c r="G3" s="5">
        <v>24819</v>
      </c>
      <c r="H3" s="5">
        <v>41169</v>
      </c>
    </row>
    <row r="4" spans="1:8" x14ac:dyDescent="0.3">
      <c r="A4" t="s">
        <v>36</v>
      </c>
      <c r="B4">
        <f>SUM(B2:B3)</f>
        <v>6275210</v>
      </c>
      <c r="C4">
        <f t="shared" ref="C4:H4" si="0">SUM(C2:C3)</f>
        <v>1069473</v>
      </c>
      <c r="D4">
        <f t="shared" si="0"/>
        <v>50</v>
      </c>
      <c r="E4">
        <f t="shared" si="0"/>
        <v>2155747</v>
      </c>
      <c r="F4">
        <f t="shared" si="0"/>
        <v>5273258</v>
      </c>
      <c r="G4">
        <f t="shared" si="0"/>
        <v>6333360</v>
      </c>
      <c r="H4">
        <f t="shared" si="0"/>
        <v>6948754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528C-9614-4D3E-BF70-BFB42235479A}">
  <dimension ref="A1:E351"/>
  <sheetViews>
    <sheetView topLeftCell="A3" workbookViewId="0">
      <selection activeCell="E24" sqref="E24"/>
    </sheetView>
  </sheetViews>
  <sheetFormatPr defaultRowHeight="14.4" x14ac:dyDescent="0.3"/>
  <cols>
    <col min="1" max="1" width="12.21875" customWidth="1"/>
    <col min="2" max="2" width="15.21875" customWidth="1"/>
    <col min="3" max="3" width="13.44140625" customWidth="1"/>
    <col min="5" max="5" width="32" customWidth="1"/>
  </cols>
  <sheetData>
    <row r="1" spans="1:5" x14ac:dyDescent="0.3">
      <c r="A1" s="1" t="s">
        <v>40</v>
      </c>
      <c r="B1" s="1" t="s">
        <v>37</v>
      </c>
      <c r="C1" s="1" t="s">
        <v>39</v>
      </c>
      <c r="D1" s="1" t="s">
        <v>41</v>
      </c>
      <c r="E1" s="1" t="s">
        <v>43</v>
      </c>
    </row>
    <row r="2" spans="1:5" ht="15.6" x14ac:dyDescent="0.3">
      <c r="A2">
        <v>2019</v>
      </c>
      <c r="B2" t="s">
        <v>9</v>
      </c>
      <c r="C2" t="s">
        <v>18</v>
      </c>
      <c r="D2">
        <v>3674</v>
      </c>
      <c r="E2" s="8" t="str">
        <f>B2&amp;" "&amp;"["&amp;C2&amp;"]"&amp;" "&amp;D2</f>
        <v>ASEAN [Brunei Darussalam] 3674</v>
      </c>
    </row>
    <row r="3" spans="1:5" ht="15.6" x14ac:dyDescent="0.3">
      <c r="A3">
        <v>2019</v>
      </c>
      <c r="B3" t="s">
        <v>9</v>
      </c>
      <c r="C3" t="s">
        <v>16</v>
      </c>
      <c r="D3">
        <v>8434</v>
      </c>
      <c r="E3" s="8" t="str">
        <f t="shared" ref="E3:E66" si="0">B3&amp;" "&amp;"["&amp;C3&amp;"]"&amp;" "&amp;D3</f>
        <v>ASEAN [Cambodia] 8434</v>
      </c>
    </row>
    <row r="4" spans="1:5" ht="15.6" x14ac:dyDescent="0.3">
      <c r="A4">
        <v>2019</v>
      </c>
      <c r="B4" t="s">
        <v>9</v>
      </c>
      <c r="C4" t="s">
        <v>17</v>
      </c>
      <c r="D4">
        <v>1203</v>
      </c>
      <c r="E4" s="8" t="str">
        <f t="shared" si="0"/>
        <v>ASEAN [Laos] 1203</v>
      </c>
    </row>
    <row r="5" spans="1:5" ht="15.6" x14ac:dyDescent="0.3">
      <c r="A5">
        <v>2019</v>
      </c>
      <c r="B5" t="s">
        <v>9</v>
      </c>
      <c r="C5" t="s">
        <v>10</v>
      </c>
      <c r="D5">
        <v>184892</v>
      </c>
      <c r="E5" s="8" t="str">
        <f t="shared" si="0"/>
        <v>ASEAN [Malaysia] 184892</v>
      </c>
    </row>
    <row r="6" spans="1:5" ht="15.6" x14ac:dyDescent="0.3">
      <c r="A6">
        <v>2019</v>
      </c>
      <c r="B6" t="s">
        <v>9</v>
      </c>
      <c r="C6" t="s">
        <v>15</v>
      </c>
      <c r="D6">
        <v>10584</v>
      </c>
      <c r="E6" s="8" t="str">
        <f t="shared" si="0"/>
        <v>ASEAN [Myanmar] 10584</v>
      </c>
    </row>
    <row r="7" spans="1:5" ht="15.6" x14ac:dyDescent="0.3">
      <c r="A7">
        <v>2019</v>
      </c>
      <c r="B7" t="s">
        <v>9</v>
      </c>
      <c r="C7" t="s">
        <v>12</v>
      </c>
      <c r="D7">
        <v>106902</v>
      </c>
      <c r="E7" s="8" t="str">
        <f t="shared" si="0"/>
        <v>ASEAN [Philippines] 106902</v>
      </c>
    </row>
    <row r="8" spans="1:5" ht="15.6" x14ac:dyDescent="0.3">
      <c r="A8">
        <v>2019</v>
      </c>
      <c r="B8" t="s">
        <v>9</v>
      </c>
      <c r="C8" t="s">
        <v>11</v>
      </c>
      <c r="D8">
        <v>163377</v>
      </c>
      <c r="E8" s="8" t="str">
        <f t="shared" si="0"/>
        <v>ASEAN [Singapore] 163377</v>
      </c>
    </row>
    <row r="9" spans="1:5" ht="15.6" x14ac:dyDescent="0.3">
      <c r="A9">
        <v>2019</v>
      </c>
      <c r="B9" t="s">
        <v>9</v>
      </c>
      <c r="C9" t="s">
        <v>13</v>
      </c>
      <c r="D9">
        <v>61083</v>
      </c>
      <c r="E9" s="8" t="str">
        <f t="shared" si="0"/>
        <v>ASEAN [Thailand] 61083</v>
      </c>
    </row>
    <row r="10" spans="1:5" ht="15.6" x14ac:dyDescent="0.3">
      <c r="A10">
        <v>2019</v>
      </c>
      <c r="B10" t="s">
        <v>9</v>
      </c>
      <c r="C10" t="s">
        <v>14</v>
      </c>
      <c r="D10">
        <v>39478</v>
      </c>
      <c r="E10" s="8" t="str">
        <f t="shared" si="0"/>
        <v>ASEAN [Vietnam] 39478</v>
      </c>
    </row>
    <row r="11" spans="1:5" ht="15.6" x14ac:dyDescent="0.3">
      <c r="A11">
        <v>2019</v>
      </c>
      <c r="B11" t="s">
        <v>30</v>
      </c>
      <c r="C11" t="s">
        <v>31</v>
      </c>
      <c r="D11">
        <v>39772</v>
      </c>
      <c r="E11" s="8" t="str">
        <f t="shared" si="0"/>
        <v>Afrika [Afrika Selatan] 39772</v>
      </c>
    </row>
    <row r="12" spans="1:5" ht="15.6" x14ac:dyDescent="0.3">
      <c r="A12">
        <v>2019</v>
      </c>
      <c r="B12" t="s">
        <v>31</v>
      </c>
      <c r="C12" t="s">
        <v>42</v>
      </c>
      <c r="D12">
        <v>39772</v>
      </c>
      <c r="E12" s="8" t="str">
        <f t="shared" si="0"/>
        <v>Afrika Selatan [Bali] 39772</v>
      </c>
    </row>
    <row r="13" spans="1:5" ht="15.6" x14ac:dyDescent="0.3">
      <c r="A13">
        <v>2019</v>
      </c>
      <c r="B13" t="s">
        <v>27</v>
      </c>
      <c r="C13" t="s">
        <v>29</v>
      </c>
      <c r="D13">
        <v>73690</v>
      </c>
      <c r="E13" s="8" t="str">
        <f t="shared" si="0"/>
        <v>Amerika [Canada] 73690</v>
      </c>
    </row>
    <row r="14" spans="1:5" ht="15.6" x14ac:dyDescent="0.3">
      <c r="A14">
        <v>2019</v>
      </c>
      <c r="B14" t="s">
        <v>27</v>
      </c>
      <c r="C14" t="s">
        <v>28</v>
      </c>
      <c r="D14">
        <v>276859</v>
      </c>
      <c r="E14" s="8" t="str">
        <f t="shared" si="0"/>
        <v>Amerika [United States] 276859</v>
      </c>
    </row>
    <row r="15" spans="1:5" ht="15.6" x14ac:dyDescent="0.3">
      <c r="A15">
        <v>2019</v>
      </c>
      <c r="B15" t="s">
        <v>4</v>
      </c>
      <c r="C15" t="s">
        <v>2</v>
      </c>
      <c r="D15">
        <v>1241128</v>
      </c>
      <c r="E15" s="8" t="str">
        <f t="shared" si="0"/>
        <v>Asia Pasifik [Australia] 1241128</v>
      </c>
    </row>
    <row r="16" spans="1:5" ht="15.6" x14ac:dyDescent="0.3">
      <c r="A16">
        <v>2019</v>
      </c>
      <c r="B16" t="s">
        <v>4</v>
      </c>
      <c r="C16" t="s">
        <v>5</v>
      </c>
      <c r="D16">
        <v>1186057</v>
      </c>
      <c r="E16" s="8" t="str">
        <f t="shared" si="0"/>
        <v>Asia Pasifik [China] 1186057</v>
      </c>
    </row>
    <row r="17" spans="1:5" ht="15.6" x14ac:dyDescent="0.3">
      <c r="A17">
        <v>2019</v>
      </c>
      <c r="B17" t="s">
        <v>4</v>
      </c>
      <c r="C17" t="s">
        <v>3</v>
      </c>
      <c r="D17">
        <v>37043</v>
      </c>
      <c r="E17" s="8" t="str">
        <f t="shared" si="0"/>
        <v>Asia Pasifik [India] 37043</v>
      </c>
    </row>
    <row r="18" spans="1:5" ht="15.6" x14ac:dyDescent="0.3">
      <c r="A18">
        <v>2019</v>
      </c>
      <c r="B18" t="s">
        <v>4</v>
      </c>
      <c r="C18" t="s">
        <v>7</v>
      </c>
      <c r="D18">
        <v>257959</v>
      </c>
      <c r="E18" s="8" t="str">
        <f t="shared" si="0"/>
        <v>Asia Pasifik [Jepang] 257959</v>
      </c>
    </row>
    <row r="19" spans="1:5" ht="15.6" x14ac:dyDescent="0.3">
      <c r="A19">
        <v>2019</v>
      </c>
      <c r="B19" t="s">
        <v>4</v>
      </c>
      <c r="C19" t="s">
        <v>6</v>
      </c>
      <c r="D19">
        <v>213356</v>
      </c>
      <c r="E19" s="8" t="str">
        <f t="shared" si="0"/>
        <v>Asia Pasifik [Korea Selatan] 213356</v>
      </c>
    </row>
    <row r="20" spans="1:5" ht="15.6" x14ac:dyDescent="0.3">
      <c r="A20">
        <v>2019</v>
      </c>
      <c r="B20" t="s">
        <v>4</v>
      </c>
      <c r="C20" t="s">
        <v>8</v>
      </c>
      <c r="D20">
        <v>107366</v>
      </c>
      <c r="E20" s="8" t="str">
        <f t="shared" si="0"/>
        <v>Asia Pasifik [Taiwan] 107366</v>
      </c>
    </row>
    <row r="21" spans="1:5" ht="15.6" x14ac:dyDescent="0.3">
      <c r="A21">
        <v>2019</v>
      </c>
      <c r="B21" t="s">
        <v>2</v>
      </c>
      <c r="C21" t="s">
        <v>42</v>
      </c>
      <c r="D21">
        <v>1241128</v>
      </c>
      <c r="E21" s="8" t="str">
        <f t="shared" si="0"/>
        <v>Australia [Bali] 1241128</v>
      </c>
    </row>
    <row r="22" spans="1:5" ht="15.6" x14ac:dyDescent="0.3">
      <c r="A22">
        <v>2019</v>
      </c>
      <c r="B22" t="s">
        <v>18</v>
      </c>
      <c r="C22" t="s">
        <v>42</v>
      </c>
      <c r="D22">
        <v>3674</v>
      </c>
      <c r="E22" s="8" t="str">
        <f t="shared" si="0"/>
        <v>Brunei Darussalam [Bali] 3674</v>
      </c>
    </row>
    <row r="23" spans="1:5" ht="15.6" x14ac:dyDescent="0.3">
      <c r="A23">
        <v>2019</v>
      </c>
      <c r="B23" t="s">
        <v>16</v>
      </c>
      <c r="C23" t="s">
        <v>42</v>
      </c>
      <c r="D23">
        <v>8434</v>
      </c>
      <c r="E23" s="8" t="str">
        <f t="shared" si="0"/>
        <v>Cambodia [Bali] 8434</v>
      </c>
    </row>
    <row r="24" spans="1:5" ht="15.6" x14ac:dyDescent="0.3">
      <c r="A24">
        <v>2019</v>
      </c>
      <c r="B24" t="s">
        <v>29</v>
      </c>
      <c r="C24" t="s">
        <v>42</v>
      </c>
      <c r="D24">
        <v>73690</v>
      </c>
      <c r="E24" s="8" t="str">
        <f t="shared" si="0"/>
        <v>Canada [Bali] 73690</v>
      </c>
    </row>
    <row r="25" spans="1:5" ht="15.6" x14ac:dyDescent="0.3">
      <c r="A25">
        <v>2019</v>
      </c>
      <c r="B25" t="s">
        <v>5</v>
      </c>
      <c r="C25" t="s">
        <v>42</v>
      </c>
      <c r="D25">
        <v>1186057</v>
      </c>
      <c r="E25" s="8" t="str">
        <f t="shared" si="0"/>
        <v>China [Bali] 1186057</v>
      </c>
    </row>
    <row r="26" spans="1:5" ht="15.6" x14ac:dyDescent="0.3">
      <c r="A26">
        <v>2019</v>
      </c>
      <c r="B26" t="s">
        <v>19</v>
      </c>
      <c r="C26" t="s">
        <v>21</v>
      </c>
      <c r="D26">
        <v>206941</v>
      </c>
      <c r="E26" s="8" t="str">
        <f t="shared" si="0"/>
        <v>Eropa [France] 206941</v>
      </c>
    </row>
    <row r="27" spans="1:5" ht="15.6" x14ac:dyDescent="0.3">
      <c r="A27">
        <v>2019</v>
      </c>
      <c r="B27" t="s">
        <v>19</v>
      </c>
      <c r="C27" t="s">
        <v>22</v>
      </c>
      <c r="D27">
        <v>196774</v>
      </c>
      <c r="E27" s="8" t="str">
        <f t="shared" si="0"/>
        <v>Eropa [Germany] 196774</v>
      </c>
    </row>
    <row r="28" spans="1:5" ht="15.6" x14ac:dyDescent="0.3">
      <c r="A28">
        <v>2019</v>
      </c>
      <c r="B28" t="s">
        <v>19</v>
      </c>
      <c r="C28" t="s">
        <v>25</v>
      </c>
      <c r="D28">
        <v>56374</v>
      </c>
      <c r="E28" s="8" t="str">
        <f t="shared" si="0"/>
        <v>Eropa [Italy] 56374</v>
      </c>
    </row>
    <row r="29" spans="1:5" ht="15.6" x14ac:dyDescent="0.3">
      <c r="A29">
        <v>2019</v>
      </c>
      <c r="B29" t="s">
        <v>19</v>
      </c>
      <c r="C29" t="s">
        <v>24</v>
      </c>
      <c r="D29">
        <v>116330</v>
      </c>
      <c r="E29" s="8" t="str">
        <f t="shared" si="0"/>
        <v>Eropa [Netherlands] 116330</v>
      </c>
    </row>
    <row r="30" spans="1:5" ht="15.6" x14ac:dyDescent="0.3">
      <c r="A30">
        <v>2019</v>
      </c>
      <c r="B30" t="s">
        <v>19</v>
      </c>
      <c r="C30" t="s">
        <v>23</v>
      </c>
      <c r="D30">
        <v>143211</v>
      </c>
      <c r="E30" s="8" t="str">
        <f t="shared" si="0"/>
        <v>Eropa [Russia] 143211</v>
      </c>
    </row>
    <row r="31" spans="1:5" ht="15.6" x14ac:dyDescent="0.3">
      <c r="A31">
        <v>2019</v>
      </c>
      <c r="B31" t="s">
        <v>19</v>
      </c>
      <c r="C31" t="s">
        <v>26</v>
      </c>
      <c r="D31">
        <v>56431</v>
      </c>
      <c r="E31" s="8" t="str">
        <f t="shared" si="0"/>
        <v>Eropa [Spain] 56431</v>
      </c>
    </row>
    <row r="32" spans="1:5" ht="15.6" x14ac:dyDescent="0.3">
      <c r="A32">
        <v>2019</v>
      </c>
      <c r="B32" t="s">
        <v>19</v>
      </c>
      <c r="C32" t="s">
        <v>20</v>
      </c>
      <c r="D32">
        <v>287258</v>
      </c>
      <c r="E32" s="8" t="str">
        <f t="shared" si="0"/>
        <v>Eropa [United Kingdom] 287258</v>
      </c>
    </row>
    <row r="33" spans="1:5" ht="15.6" x14ac:dyDescent="0.3">
      <c r="A33">
        <v>2019</v>
      </c>
      <c r="B33" t="s">
        <v>21</v>
      </c>
      <c r="C33" t="s">
        <v>42</v>
      </c>
      <c r="D33">
        <v>206941</v>
      </c>
      <c r="E33" s="8" t="str">
        <f t="shared" si="0"/>
        <v>France [Bali] 206941</v>
      </c>
    </row>
    <row r="34" spans="1:5" ht="15.6" x14ac:dyDescent="0.3">
      <c r="A34">
        <v>2019</v>
      </c>
      <c r="B34" t="s">
        <v>22</v>
      </c>
      <c r="C34" t="s">
        <v>42</v>
      </c>
      <c r="D34">
        <v>196774</v>
      </c>
      <c r="E34" s="8" t="str">
        <f t="shared" si="0"/>
        <v>Germany [Bali] 196774</v>
      </c>
    </row>
    <row r="35" spans="1:5" ht="15.6" x14ac:dyDescent="0.3">
      <c r="A35">
        <v>2019</v>
      </c>
      <c r="B35" t="s">
        <v>3</v>
      </c>
      <c r="C35" t="s">
        <v>42</v>
      </c>
      <c r="D35">
        <v>37043</v>
      </c>
      <c r="E35" s="8" t="str">
        <f t="shared" si="0"/>
        <v>India [Bali] 37043</v>
      </c>
    </row>
    <row r="36" spans="1:5" ht="15.6" x14ac:dyDescent="0.3">
      <c r="A36">
        <v>2019</v>
      </c>
      <c r="B36" t="s">
        <v>25</v>
      </c>
      <c r="C36" t="s">
        <v>42</v>
      </c>
      <c r="D36">
        <v>56374</v>
      </c>
      <c r="E36" s="8" t="str">
        <f t="shared" si="0"/>
        <v>Italy [Bali] 56374</v>
      </c>
    </row>
    <row r="37" spans="1:5" ht="15.6" x14ac:dyDescent="0.3">
      <c r="A37">
        <v>2019</v>
      </c>
      <c r="B37" t="s">
        <v>7</v>
      </c>
      <c r="C37" t="s">
        <v>42</v>
      </c>
      <c r="D37">
        <v>257959</v>
      </c>
      <c r="E37" s="8" t="str">
        <f t="shared" si="0"/>
        <v>Jepang [Bali] 257959</v>
      </c>
    </row>
    <row r="38" spans="1:5" ht="15.6" x14ac:dyDescent="0.3">
      <c r="A38">
        <v>2019</v>
      </c>
      <c r="B38" t="s">
        <v>6</v>
      </c>
      <c r="C38" t="s">
        <v>42</v>
      </c>
      <c r="D38">
        <v>213356</v>
      </c>
      <c r="E38" s="8" t="str">
        <f t="shared" si="0"/>
        <v>Korea Selatan [Bali] 213356</v>
      </c>
    </row>
    <row r="39" spans="1:5" ht="15.6" x14ac:dyDescent="0.3">
      <c r="A39">
        <v>2019</v>
      </c>
      <c r="B39" t="s">
        <v>17</v>
      </c>
      <c r="C39" t="s">
        <v>42</v>
      </c>
      <c r="D39">
        <v>1203</v>
      </c>
      <c r="E39" s="8" t="str">
        <f t="shared" si="0"/>
        <v>Laos [Bali] 1203</v>
      </c>
    </row>
    <row r="40" spans="1:5" ht="15.6" x14ac:dyDescent="0.3">
      <c r="A40">
        <v>2019</v>
      </c>
      <c r="B40" t="s">
        <v>10</v>
      </c>
      <c r="C40" t="s">
        <v>42</v>
      </c>
      <c r="D40">
        <v>184892</v>
      </c>
      <c r="E40" s="8" t="str">
        <f t="shared" si="0"/>
        <v>Malaysia [Bali] 184892</v>
      </c>
    </row>
    <row r="41" spans="1:5" ht="15.6" x14ac:dyDescent="0.3">
      <c r="A41">
        <v>2019</v>
      </c>
      <c r="B41" t="s">
        <v>15</v>
      </c>
      <c r="C41" t="s">
        <v>42</v>
      </c>
      <c r="D41">
        <v>10584</v>
      </c>
      <c r="E41" s="8" t="str">
        <f t="shared" si="0"/>
        <v>Myanmar [Bali] 10584</v>
      </c>
    </row>
    <row r="42" spans="1:5" ht="15.6" x14ac:dyDescent="0.3">
      <c r="A42">
        <v>2019</v>
      </c>
      <c r="B42" t="s">
        <v>24</v>
      </c>
      <c r="C42" t="s">
        <v>42</v>
      </c>
      <c r="D42">
        <v>116330</v>
      </c>
      <c r="E42" s="8" t="str">
        <f t="shared" si="0"/>
        <v>Netherlands [Bali] 116330</v>
      </c>
    </row>
    <row r="43" spans="1:5" ht="15.6" x14ac:dyDescent="0.3">
      <c r="A43">
        <v>2019</v>
      </c>
      <c r="B43" t="s">
        <v>12</v>
      </c>
      <c r="C43" t="s">
        <v>42</v>
      </c>
      <c r="D43">
        <v>106902</v>
      </c>
      <c r="E43" s="8" t="str">
        <f t="shared" si="0"/>
        <v>Philippines [Bali] 106902</v>
      </c>
    </row>
    <row r="44" spans="1:5" ht="15.6" x14ac:dyDescent="0.3">
      <c r="A44">
        <v>2019</v>
      </c>
      <c r="B44" t="s">
        <v>23</v>
      </c>
      <c r="C44" t="s">
        <v>42</v>
      </c>
      <c r="D44">
        <v>143211</v>
      </c>
      <c r="E44" s="8" t="str">
        <f t="shared" si="0"/>
        <v>Russia [Bali] 143211</v>
      </c>
    </row>
    <row r="45" spans="1:5" ht="15.6" x14ac:dyDescent="0.3">
      <c r="A45">
        <v>2019</v>
      </c>
      <c r="B45" t="s">
        <v>11</v>
      </c>
      <c r="C45" t="s">
        <v>42</v>
      </c>
      <c r="D45">
        <v>163377</v>
      </c>
      <c r="E45" s="8" t="str">
        <f t="shared" si="0"/>
        <v>Singapore [Bali] 163377</v>
      </c>
    </row>
    <row r="46" spans="1:5" ht="15.6" x14ac:dyDescent="0.3">
      <c r="A46">
        <v>2019</v>
      </c>
      <c r="B46" t="s">
        <v>26</v>
      </c>
      <c r="C46" t="s">
        <v>42</v>
      </c>
      <c r="D46">
        <v>56431</v>
      </c>
      <c r="E46" s="8" t="str">
        <f t="shared" si="0"/>
        <v>Spain [Bali] 56431</v>
      </c>
    </row>
    <row r="47" spans="1:5" ht="15.6" x14ac:dyDescent="0.3">
      <c r="A47">
        <v>2019</v>
      </c>
      <c r="B47" t="s">
        <v>8</v>
      </c>
      <c r="C47" t="s">
        <v>42</v>
      </c>
      <c r="D47">
        <v>107366</v>
      </c>
      <c r="E47" s="8" t="str">
        <f t="shared" si="0"/>
        <v>Taiwan [Bali] 107366</v>
      </c>
    </row>
    <row r="48" spans="1:5" ht="15.6" x14ac:dyDescent="0.3">
      <c r="A48">
        <v>2019</v>
      </c>
      <c r="B48" t="s">
        <v>13</v>
      </c>
      <c r="C48" t="s">
        <v>42</v>
      </c>
      <c r="D48">
        <v>61083</v>
      </c>
      <c r="E48" s="8" t="str">
        <f t="shared" si="0"/>
        <v>Thailand [Bali] 61083</v>
      </c>
    </row>
    <row r="49" spans="1:5" ht="15.6" x14ac:dyDescent="0.3">
      <c r="A49">
        <v>2019</v>
      </c>
      <c r="B49" t="s">
        <v>20</v>
      </c>
      <c r="C49" t="s">
        <v>42</v>
      </c>
      <c r="D49">
        <v>287258</v>
      </c>
      <c r="E49" s="8" t="str">
        <f t="shared" si="0"/>
        <v>United Kingdom [Bali] 287258</v>
      </c>
    </row>
    <row r="50" spans="1:5" ht="15.6" x14ac:dyDescent="0.3">
      <c r="A50">
        <v>2019</v>
      </c>
      <c r="B50" t="s">
        <v>28</v>
      </c>
      <c r="C50" t="s">
        <v>42</v>
      </c>
      <c r="D50">
        <v>276859</v>
      </c>
      <c r="E50" s="8" t="str">
        <f t="shared" si="0"/>
        <v>United States [Bali] 276859</v>
      </c>
    </row>
    <row r="51" spans="1:5" ht="15.6" x14ac:dyDescent="0.3">
      <c r="A51">
        <v>2019</v>
      </c>
      <c r="B51" t="s">
        <v>14</v>
      </c>
      <c r="C51" t="s">
        <v>42</v>
      </c>
      <c r="D51">
        <v>39478</v>
      </c>
      <c r="E51" s="8" t="str">
        <f t="shared" si="0"/>
        <v>Vietnam [Bali] 39478</v>
      </c>
    </row>
    <row r="52" spans="1:5" ht="15.6" x14ac:dyDescent="0.3">
      <c r="A52">
        <v>2020</v>
      </c>
      <c r="B52" t="s">
        <v>9</v>
      </c>
      <c r="C52" t="s">
        <v>18</v>
      </c>
      <c r="D52">
        <v>679</v>
      </c>
      <c r="E52" s="8" t="str">
        <f t="shared" si="0"/>
        <v>ASEAN [Brunei Darussalam] 679</v>
      </c>
    </row>
    <row r="53" spans="1:5" ht="15.6" x14ac:dyDescent="0.3">
      <c r="A53">
        <v>2020</v>
      </c>
      <c r="B53" t="s">
        <v>9</v>
      </c>
      <c r="C53" t="s">
        <v>16</v>
      </c>
      <c r="D53">
        <v>1204</v>
      </c>
      <c r="E53" s="8" t="str">
        <f t="shared" si="0"/>
        <v>ASEAN [Cambodia] 1204</v>
      </c>
    </row>
    <row r="54" spans="1:5" ht="15.6" x14ac:dyDescent="0.3">
      <c r="A54">
        <v>2020</v>
      </c>
      <c r="B54" t="s">
        <v>9</v>
      </c>
      <c r="C54" t="s">
        <v>17</v>
      </c>
      <c r="D54">
        <v>206</v>
      </c>
      <c r="E54" s="8" t="str">
        <f t="shared" si="0"/>
        <v>ASEAN [Laos] 206</v>
      </c>
    </row>
    <row r="55" spans="1:5" ht="15.6" x14ac:dyDescent="0.3">
      <c r="A55">
        <v>2020</v>
      </c>
      <c r="B55" t="s">
        <v>9</v>
      </c>
      <c r="C55" t="s">
        <v>10</v>
      </c>
      <c r="D55">
        <v>31587</v>
      </c>
      <c r="E55" s="8" t="str">
        <f t="shared" si="0"/>
        <v>ASEAN [Malaysia] 31587</v>
      </c>
    </row>
    <row r="56" spans="1:5" ht="15.6" x14ac:dyDescent="0.3">
      <c r="A56">
        <v>2020</v>
      </c>
      <c r="B56" t="s">
        <v>9</v>
      </c>
      <c r="C56" t="s">
        <v>15</v>
      </c>
      <c r="D56">
        <v>1809</v>
      </c>
      <c r="E56" s="8" t="str">
        <f t="shared" si="0"/>
        <v>ASEAN [Myanmar] 1809</v>
      </c>
    </row>
    <row r="57" spans="1:5" ht="15.6" x14ac:dyDescent="0.3">
      <c r="A57">
        <v>2020</v>
      </c>
      <c r="B57" t="s">
        <v>9</v>
      </c>
      <c r="C57" t="s">
        <v>12</v>
      </c>
      <c r="D57">
        <v>1642</v>
      </c>
      <c r="E57" s="8" t="str">
        <f t="shared" si="0"/>
        <v>ASEAN [Philippines] 1642</v>
      </c>
    </row>
    <row r="58" spans="1:5" ht="15.6" x14ac:dyDescent="0.3">
      <c r="A58">
        <v>2020</v>
      </c>
      <c r="B58" t="s">
        <v>9</v>
      </c>
      <c r="C58" t="s">
        <v>11</v>
      </c>
      <c r="D58">
        <v>23463</v>
      </c>
      <c r="E58" s="8" t="str">
        <f t="shared" si="0"/>
        <v>ASEAN [Singapore] 23463</v>
      </c>
    </row>
    <row r="59" spans="1:5" ht="15.6" x14ac:dyDescent="0.3">
      <c r="A59">
        <v>2020</v>
      </c>
      <c r="B59" t="s">
        <v>9</v>
      </c>
      <c r="C59" t="s">
        <v>13</v>
      </c>
      <c r="D59">
        <v>7953</v>
      </c>
      <c r="E59" s="8" t="str">
        <f t="shared" si="0"/>
        <v>ASEAN [Thailand] 7953</v>
      </c>
    </row>
    <row r="60" spans="1:5" ht="15.6" x14ac:dyDescent="0.3">
      <c r="A60">
        <v>2020</v>
      </c>
      <c r="B60" t="s">
        <v>9</v>
      </c>
      <c r="C60" t="s">
        <v>14</v>
      </c>
      <c r="D60">
        <v>11330</v>
      </c>
      <c r="E60" s="8" t="str">
        <f t="shared" si="0"/>
        <v>ASEAN [Vietnam] 11330</v>
      </c>
    </row>
    <row r="61" spans="1:5" ht="15.6" x14ac:dyDescent="0.3">
      <c r="A61">
        <v>2020</v>
      </c>
      <c r="B61" t="s">
        <v>30</v>
      </c>
      <c r="C61" t="s">
        <v>31</v>
      </c>
      <c r="D61">
        <v>5803</v>
      </c>
      <c r="E61" s="8" t="str">
        <f t="shared" si="0"/>
        <v>Afrika [Afrika Selatan] 5803</v>
      </c>
    </row>
    <row r="62" spans="1:5" ht="15.6" x14ac:dyDescent="0.3">
      <c r="A62">
        <v>2020</v>
      </c>
      <c r="B62" t="s">
        <v>31</v>
      </c>
      <c r="C62" t="s">
        <v>42</v>
      </c>
      <c r="D62">
        <v>5803</v>
      </c>
      <c r="E62" s="8" t="str">
        <f t="shared" si="0"/>
        <v>Afrika Selatan [Bali] 5803</v>
      </c>
    </row>
    <row r="63" spans="1:5" ht="15.6" x14ac:dyDescent="0.3">
      <c r="A63">
        <v>2020</v>
      </c>
      <c r="B63" t="s">
        <v>27</v>
      </c>
      <c r="C63" t="s">
        <v>29</v>
      </c>
      <c r="D63">
        <v>16706</v>
      </c>
      <c r="E63" s="8" t="str">
        <f t="shared" si="0"/>
        <v>Amerika [Canada] 16706</v>
      </c>
    </row>
    <row r="64" spans="1:5" ht="15.6" x14ac:dyDescent="0.3">
      <c r="A64">
        <v>2020</v>
      </c>
      <c r="B64" t="s">
        <v>27</v>
      </c>
      <c r="C64" t="s">
        <v>28</v>
      </c>
      <c r="D64">
        <v>47996</v>
      </c>
      <c r="E64" s="8" t="str">
        <f t="shared" si="0"/>
        <v>Amerika [United States] 47996</v>
      </c>
    </row>
    <row r="65" spans="1:5" ht="15.6" x14ac:dyDescent="0.3">
      <c r="A65">
        <v>2020</v>
      </c>
      <c r="B65" t="s">
        <v>4</v>
      </c>
      <c r="C65" t="s">
        <v>2</v>
      </c>
      <c r="D65">
        <v>226945</v>
      </c>
      <c r="E65" s="8" t="str">
        <f t="shared" si="0"/>
        <v>Asia Pasifik [Australia] 226945</v>
      </c>
    </row>
    <row r="66" spans="1:5" ht="15.6" x14ac:dyDescent="0.3">
      <c r="A66">
        <v>2020</v>
      </c>
      <c r="B66" t="s">
        <v>4</v>
      </c>
      <c r="C66" t="s">
        <v>5</v>
      </c>
      <c r="D66">
        <v>118617</v>
      </c>
      <c r="E66" s="8" t="str">
        <f t="shared" si="0"/>
        <v>Asia Pasifik [China] 118617</v>
      </c>
    </row>
    <row r="67" spans="1:5" ht="15.6" x14ac:dyDescent="0.3">
      <c r="A67">
        <v>2020</v>
      </c>
      <c r="B67" t="s">
        <v>4</v>
      </c>
      <c r="C67" t="s">
        <v>3</v>
      </c>
      <c r="D67">
        <v>68199</v>
      </c>
      <c r="E67" s="8" t="str">
        <f t="shared" ref="E67:E130" si="1">B67&amp;" "&amp;"["&amp;C67&amp;"]"&amp;" "&amp;D67</f>
        <v>Asia Pasifik [India] 68199</v>
      </c>
    </row>
    <row r="68" spans="1:5" ht="15.6" x14ac:dyDescent="0.3">
      <c r="A68">
        <v>2020</v>
      </c>
      <c r="B68" t="s">
        <v>4</v>
      </c>
      <c r="C68" t="s">
        <v>7</v>
      </c>
      <c r="D68">
        <v>48800</v>
      </c>
      <c r="E68" s="8" t="str">
        <f t="shared" si="1"/>
        <v>Asia Pasifik [Jepang] 48800</v>
      </c>
    </row>
    <row r="69" spans="1:5" ht="15.6" x14ac:dyDescent="0.3">
      <c r="A69">
        <v>2020</v>
      </c>
      <c r="B69" t="s">
        <v>4</v>
      </c>
      <c r="C69" t="s">
        <v>6</v>
      </c>
      <c r="D69">
        <v>42856</v>
      </c>
      <c r="E69" s="8" t="str">
        <f t="shared" si="1"/>
        <v>Asia Pasifik [Korea Selatan] 42856</v>
      </c>
    </row>
    <row r="70" spans="1:5" ht="15.6" x14ac:dyDescent="0.3">
      <c r="A70">
        <v>2020</v>
      </c>
      <c r="B70" t="s">
        <v>4</v>
      </c>
      <c r="C70" t="s">
        <v>8</v>
      </c>
      <c r="D70">
        <v>18435</v>
      </c>
      <c r="E70" s="8" t="str">
        <f t="shared" si="1"/>
        <v>Asia Pasifik [Taiwan] 18435</v>
      </c>
    </row>
    <row r="71" spans="1:5" ht="15.6" x14ac:dyDescent="0.3">
      <c r="A71">
        <v>2020</v>
      </c>
      <c r="B71" t="s">
        <v>2</v>
      </c>
      <c r="C71" t="s">
        <v>42</v>
      </c>
      <c r="D71">
        <v>226945</v>
      </c>
      <c r="E71" s="8" t="str">
        <f t="shared" si="1"/>
        <v>Australia [Bali] 226945</v>
      </c>
    </row>
    <row r="72" spans="1:5" ht="15.6" x14ac:dyDescent="0.3">
      <c r="A72">
        <v>2020</v>
      </c>
      <c r="B72" t="s">
        <v>18</v>
      </c>
      <c r="C72" t="s">
        <v>42</v>
      </c>
      <c r="D72">
        <v>679</v>
      </c>
      <c r="E72" s="8" t="str">
        <f t="shared" si="1"/>
        <v>Brunei Darussalam [Bali] 679</v>
      </c>
    </row>
    <row r="73" spans="1:5" ht="15.6" x14ac:dyDescent="0.3">
      <c r="A73">
        <v>2020</v>
      </c>
      <c r="B73" t="s">
        <v>16</v>
      </c>
      <c r="C73" t="s">
        <v>42</v>
      </c>
      <c r="D73">
        <v>1204</v>
      </c>
      <c r="E73" s="8" t="str">
        <f t="shared" si="1"/>
        <v>Cambodia [Bali] 1204</v>
      </c>
    </row>
    <row r="74" spans="1:5" ht="15.6" x14ac:dyDescent="0.3">
      <c r="A74">
        <v>2020</v>
      </c>
      <c r="B74" t="s">
        <v>29</v>
      </c>
      <c r="C74" t="s">
        <v>42</v>
      </c>
      <c r="D74">
        <v>16706</v>
      </c>
      <c r="E74" s="8" t="str">
        <f t="shared" si="1"/>
        <v>Canada [Bali] 16706</v>
      </c>
    </row>
    <row r="75" spans="1:5" ht="15.6" x14ac:dyDescent="0.3">
      <c r="A75">
        <v>2020</v>
      </c>
      <c r="B75" t="s">
        <v>5</v>
      </c>
      <c r="C75" t="s">
        <v>42</v>
      </c>
      <c r="D75">
        <v>118617</v>
      </c>
      <c r="E75" s="8" t="str">
        <f t="shared" si="1"/>
        <v>China [Bali] 118617</v>
      </c>
    </row>
    <row r="76" spans="1:5" ht="15.6" x14ac:dyDescent="0.3">
      <c r="A76">
        <v>2020</v>
      </c>
      <c r="B76" t="s">
        <v>19</v>
      </c>
      <c r="C76" t="s">
        <v>21</v>
      </c>
      <c r="D76">
        <v>29786</v>
      </c>
      <c r="E76" s="8" t="str">
        <f t="shared" si="1"/>
        <v>Eropa [France] 29786</v>
      </c>
    </row>
    <row r="77" spans="1:5" ht="15.6" x14ac:dyDescent="0.3">
      <c r="A77">
        <v>2020</v>
      </c>
      <c r="B77" t="s">
        <v>19</v>
      </c>
      <c r="C77" t="s">
        <v>22</v>
      </c>
      <c r="D77">
        <v>29557</v>
      </c>
      <c r="E77" s="8" t="str">
        <f t="shared" si="1"/>
        <v>Eropa [Germany] 29557</v>
      </c>
    </row>
    <row r="78" spans="1:5" ht="15.6" x14ac:dyDescent="0.3">
      <c r="A78">
        <v>2020</v>
      </c>
      <c r="B78" t="s">
        <v>19</v>
      </c>
      <c r="C78" t="s">
        <v>25</v>
      </c>
      <c r="D78">
        <v>7249</v>
      </c>
      <c r="E78" s="8" t="str">
        <f t="shared" si="1"/>
        <v>Eropa [Italy] 7249</v>
      </c>
    </row>
    <row r="79" spans="1:5" ht="15.6" x14ac:dyDescent="0.3">
      <c r="A79">
        <v>2020</v>
      </c>
      <c r="B79" t="s">
        <v>19</v>
      </c>
      <c r="C79" t="s">
        <v>24</v>
      </c>
      <c r="D79">
        <v>22474</v>
      </c>
      <c r="E79" s="8" t="str">
        <f t="shared" si="1"/>
        <v>Eropa [Netherlands] 22474</v>
      </c>
    </row>
    <row r="80" spans="1:5" ht="15.6" x14ac:dyDescent="0.3">
      <c r="A80">
        <v>2020</v>
      </c>
      <c r="B80" t="s">
        <v>19</v>
      </c>
      <c r="C80" t="s">
        <v>23</v>
      </c>
      <c r="D80">
        <v>57817</v>
      </c>
      <c r="E80" s="8" t="str">
        <f t="shared" si="1"/>
        <v>Eropa [Russia] 57817</v>
      </c>
    </row>
    <row r="81" spans="1:5" ht="15.6" x14ac:dyDescent="0.3">
      <c r="A81">
        <v>2020</v>
      </c>
      <c r="B81" t="s">
        <v>19</v>
      </c>
      <c r="C81" t="s">
        <v>26</v>
      </c>
      <c r="D81">
        <v>7727</v>
      </c>
      <c r="E81" s="8" t="str">
        <f t="shared" si="1"/>
        <v>Eropa [Spain] 7727</v>
      </c>
    </row>
    <row r="82" spans="1:5" ht="15.6" x14ac:dyDescent="0.3">
      <c r="A82">
        <v>2020</v>
      </c>
      <c r="B82" t="s">
        <v>19</v>
      </c>
      <c r="C82" t="s">
        <v>20</v>
      </c>
      <c r="D82">
        <v>47680</v>
      </c>
      <c r="E82" s="8" t="str">
        <f t="shared" si="1"/>
        <v>Eropa [United Kingdom] 47680</v>
      </c>
    </row>
    <row r="83" spans="1:5" ht="15.6" x14ac:dyDescent="0.3">
      <c r="A83">
        <v>2020</v>
      </c>
      <c r="B83" t="s">
        <v>21</v>
      </c>
      <c r="C83" t="s">
        <v>42</v>
      </c>
      <c r="D83">
        <v>29786</v>
      </c>
      <c r="E83" s="8" t="str">
        <f t="shared" si="1"/>
        <v>France [Bali] 29786</v>
      </c>
    </row>
    <row r="84" spans="1:5" ht="15.6" x14ac:dyDescent="0.3">
      <c r="A84">
        <v>2020</v>
      </c>
      <c r="B84" t="s">
        <v>22</v>
      </c>
      <c r="C84" t="s">
        <v>42</v>
      </c>
      <c r="D84">
        <v>29557</v>
      </c>
      <c r="E84" s="8" t="str">
        <f t="shared" si="1"/>
        <v>Germany [Bali] 29557</v>
      </c>
    </row>
    <row r="85" spans="1:5" ht="15.6" x14ac:dyDescent="0.3">
      <c r="A85">
        <v>2020</v>
      </c>
      <c r="B85" t="s">
        <v>3</v>
      </c>
      <c r="C85" t="s">
        <v>42</v>
      </c>
      <c r="D85">
        <v>68199</v>
      </c>
      <c r="E85" s="8" t="str">
        <f t="shared" si="1"/>
        <v>India [Bali] 68199</v>
      </c>
    </row>
    <row r="86" spans="1:5" ht="15.6" x14ac:dyDescent="0.3">
      <c r="A86">
        <v>2020</v>
      </c>
      <c r="B86" t="s">
        <v>25</v>
      </c>
      <c r="C86" t="s">
        <v>42</v>
      </c>
      <c r="D86">
        <v>7249</v>
      </c>
      <c r="E86" s="8" t="str">
        <f t="shared" si="1"/>
        <v>Italy [Bali] 7249</v>
      </c>
    </row>
    <row r="87" spans="1:5" ht="15.6" x14ac:dyDescent="0.3">
      <c r="A87">
        <v>2020</v>
      </c>
      <c r="B87" t="s">
        <v>7</v>
      </c>
      <c r="C87" t="s">
        <v>42</v>
      </c>
      <c r="D87">
        <v>48800</v>
      </c>
      <c r="E87" s="8" t="str">
        <f t="shared" si="1"/>
        <v>Jepang [Bali] 48800</v>
      </c>
    </row>
    <row r="88" spans="1:5" ht="15.6" x14ac:dyDescent="0.3">
      <c r="A88">
        <v>2020</v>
      </c>
      <c r="B88" t="s">
        <v>6</v>
      </c>
      <c r="C88" t="s">
        <v>42</v>
      </c>
      <c r="D88">
        <v>42856</v>
      </c>
      <c r="E88" s="8" t="str">
        <f t="shared" si="1"/>
        <v>Korea Selatan [Bali] 42856</v>
      </c>
    </row>
    <row r="89" spans="1:5" ht="15.6" x14ac:dyDescent="0.3">
      <c r="A89">
        <v>2020</v>
      </c>
      <c r="B89" t="s">
        <v>17</v>
      </c>
      <c r="C89" t="s">
        <v>42</v>
      </c>
      <c r="D89">
        <v>206</v>
      </c>
      <c r="E89" s="8" t="str">
        <f t="shared" si="1"/>
        <v>Laos [Bali] 206</v>
      </c>
    </row>
    <row r="90" spans="1:5" ht="15.6" x14ac:dyDescent="0.3">
      <c r="A90">
        <v>2020</v>
      </c>
      <c r="B90" t="s">
        <v>10</v>
      </c>
      <c r="C90" t="s">
        <v>42</v>
      </c>
      <c r="D90">
        <v>31587</v>
      </c>
      <c r="E90" s="8" t="str">
        <f t="shared" si="1"/>
        <v>Malaysia [Bali] 31587</v>
      </c>
    </row>
    <row r="91" spans="1:5" ht="15.6" x14ac:dyDescent="0.3">
      <c r="A91">
        <v>2020</v>
      </c>
      <c r="B91" t="s">
        <v>15</v>
      </c>
      <c r="C91" t="s">
        <v>42</v>
      </c>
      <c r="D91">
        <v>1809</v>
      </c>
      <c r="E91" s="8" t="str">
        <f t="shared" si="1"/>
        <v>Myanmar [Bali] 1809</v>
      </c>
    </row>
    <row r="92" spans="1:5" ht="15.6" x14ac:dyDescent="0.3">
      <c r="A92">
        <v>2020</v>
      </c>
      <c r="B92" t="s">
        <v>24</v>
      </c>
      <c r="C92" t="s">
        <v>42</v>
      </c>
      <c r="D92">
        <v>22474</v>
      </c>
      <c r="E92" s="8" t="str">
        <f t="shared" si="1"/>
        <v>Netherlands [Bali] 22474</v>
      </c>
    </row>
    <row r="93" spans="1:5" ht="15.6" x14ac:dyDescent="0.3">
      <c r="A93">
        <v>2020</v>
      </c>
      <c r="B93" t="s">
        <v>12</v>
      </c>
      <c r="C93" t="s">
        <v>42</v>
      </c>
      <c r="D93">
        <v>1642</v>
      </c>
      <c r="E93" s="8" t="str">
        <f t="shared" si="1"/>
        <v>Philippines [Bali] 1642</v>
      </c>
    </row>
    <row r="94" spans="1:5" ht="15.6" x14ac:dyDescent="0.3">
      <c r="A94">
        <v>2020</v>
      </c>
      <c r="B94" t="s">
        <v>23</v>
      </c>
      <c r="C94" t="s">
        <v>42</v>
      </c>
      <c r="D94">
        <v>57817</v>
      </c>
      <c r="E94" s="8" t="str">
        <f t="shared" si="1"/>
        <v>Russia [Bali] 57817</v>
      </c>
    </row>
    <row r="95" spans="1:5" ht="15.6" x14ac:dyDescent="0.3">
      <c r="A95">
        <v>2020</v>
      </c>
      <c r="B95" t="s">
        <v>11</v>
      </c>
      <c r="C95" t="s">
        <v>42</v>
      </c>
      <c r="D95">
        <v>23463</v>
      </c>
      <c r="E95" s="8" t="str">
        <f t="shared" si="1"/>
        <v>Singapore [Bali] 23463</v>
      </c>
    </row>
    <row r="96" spans="1:5" ht="15.6" x14ac:dyDescent="0.3">
      <c r="A96">
        <v>2020</v>
      </c>
      <c r="B96" t="s">
        <v>26</v>
      </c>
      <c r="C96" t="s">
        <v>42</v>
      </c>
      <c r="D96">
        <v>7727</v>
      </c>
      <c r="E96" s="8" t="str">
        <f t="shared" si="1"/>
        <v>Spain [Bali] 7727</v>
      </c>
    </row>
    <row r="97" spans="1:5" ht="15.6" x14ac:dyDescent="0.3">
      <c r="A97">
        <v>2020</v>
      </c>
      <c r="B97" t="s">
        <v>8</v>
      </c>
      <c r="C97" t="s">
        <v>42</v>
      </c>
      <c r="D97">
        <v>18435</v>
      </c>
      <c r="E97" s="8" t="str">
        <f t="shared" si="1"/>
        <v>Taiwan [Bali] 18435</v>
      </c>
    </row>
    <row r="98" spans="1:5" ht="15.6" x14ac:dyDescent="0.3">
      <c r="A98">
        <v>2020</v>
      </c>
      <c r="B98" t="s">
        <v>13</v>
      </c>
      <c r="C98" t="s">
        <v>42</v>
      </c>
      <c r="D98">
        <v>7953</v>
      </c>
      <c r="E98" s="8" t="str">
        <f t="shared" si="1"/>
        <v>Thailand [Bali] 7953</v>
      </c>
    </row>
    <row r="99" spans="1:5" ht="15.6" x14ac:dyDescent="0.3">
      <c r="A99">
        <v>2020</v>
      </c>
      <c r="B99" t="s">
        <v>20</v>
      </c>
      <c r="C99" t="s">
        <v>42</v>
      </c>
      <c r="D99">
        <v>47680</v>
      </c>
      <c r="E99" s="8" t="str">
        <f t="shared" si="1"/>
        <v>United Kingdom [Bali] 47680</v>
      </c>
    </row>
    <row r="100" spans="1:5" ht="15.6" x14ac:dyDescent="0.3">
      <c r="A100">
        <v>2020</v>
      </c>
      <c r="B100" t="s">
        <v>28</v>
      </c>
      <c r="C100" t="s">
        <v>42</v>
      </c>
      <c r="D100">
        <v>47996</v>
      </c>
      <c r="E100" s="8" t="str">
        <f t="shared" si="1"/>
        <v>United States [Bali] 47996</v>
      </c>
    </row>
    <row r="101" spans="1:5" ht="15.6" x14ac:dyDescent="0.3">
      <c r="A101">
        <v>2020</v>
      </c>
      <c r="B101" t="s">
        <v>14</v>
      </c>
      <c r="C101" t="s">
        <v>42</v>
      </c>
      <c r="D101">
        <v>11330</v>
      </c>
      <c r="E101" s="8" t="str">
        <f t="shared" si="1"/>
        <v>Vietnam [Bali] 11330</v>
      </c>
    </row>
    <row r="102" spans="1:5" ht="15.6" x14ac:dyDescent="0.3">
      <c r="A102">
        <v>2021</v>
      </c>
      <c r="B102" t="s">
        <v>9</v>
      </c>
      <c r="C102" t="s">
        <v>18</v>
      </c>
      <c r="D102">
        <v>0</v>
      </c>
      <c r="E102" s="8" t="str">
        <f t="shared" si="1"/>
        <v>ASEAN [Brunei Darussalam] 0</v>
      </c>
    </row>
    <row r="103" spans="1:5" ht="15.6" x14ac:dyDescent="0.3">
      <c r="A103">
        <v>2021</v>
      </c>
      <c r="B103" t="s">
        <v>9</v>
      </c>
      <c r="C103" t="s">
        <v>16</v>
      </c>
      <c r="D103">
        <v>0</v>
      </c>
      <c r="E103" s="8" t="str">
        <f t="shared" si="1"/>
        <v>ASEAN [Cambodia] 0</v>
      </c>
    </row>
    <row r="104" spans="1:5" ht="15.6" x14ac:dyDescent="0.3">
      <c r="A104">
        <v>2021</v>
      </c>
      <c r="B104" t="s">
        <v>9</v>
      </c>
      <c r="C104" t="s">
        <v>17</v>
      </c>
      <c r="D104">
        <v>0</v>
      </c>
      <c r="E104" s="8" t="str">
        <f t="shared" si="1"/>
        <v>ASEAN [Laos] 0</v>
      </c>
    </row>
    <row r="105" spans="1:5" ht="15.6" x14ac:dyDescent="0.3">
      <c r="A105">
        <v>2021</v>
      </c>
      <c r="B105" t="s">
        <v>9</v>
      </c>
      <c r="C105" t="s">
        <v>10</v>
      </c>
      <c r="D105">
        <v>0</v>
      </c>
      <c r="E105" s="8" t="str">
        <f t="shared" si="1"/>
        <v>ASEAN [Malaysia] 0</v>
      </c>
    </row>
    <row r="106" spans="1:5" ht="15.6" x14ac:dyDescent="0.3">
      <c r="A106">
        <v>2021</v>
      </c>
      <c r="B106" t="s">
        <v>9</v>
      </c>
      <c r="C106" t="s">
        <v>15</v>
      </c>
      <c r="D106">
        <v>0</v>
      </c>
      <c r="E106" s="8" t="str">
        <f t="shared" si="1"/>
        <v>ASEAN [Myanmar] 0</v>
      </c>
    </row>
    <row r="107" spans="1:5" ht="15.6" x14ac:dyDescent="0.3">
      <c r="A107">
        <v>2021</v>
      </c>
      <c r="B107" t="s">
        <v>9</v>
      </c>
      <c r="C107" t="s">
        <v>12</v>
      </c>
      <c r="D107">
        <v>8</v>
      </c>
      <c r="E107" s="8" t="str">
        <f t="shared" si="1"/>
        <v>ASEAN [Philippines] 8</v>
      </c>
    </row>
    <row r="108" spans="1:5" ht="15.6" x14ac:dyDescent="0.3">
      <c r="A108">
        <v>2021</v>
      </c>
      <c r="B108" t="s">
        <v>9</v>
      </c>
      <c r="C108" t="s">
        <v>11</v>
      </c>
      <c r="D108">
        <v>1</v>
      </c>
      <c r="E108" s="8" t="str">
        <f t="shared" si="1"/>
        <v>ASEAN [Singapore] 1</v>
      </c>
    </row>
    <row r="109" spans="1:5" ht="15.6" x14ac:dyDescent="0.3">
      <c r="A109">
        <v>2021</v>
      </c>
      <c r="B109" t="s">
        <v>9</v>
      </c>
      <c r="C109" t="s">
        <v>13</v>
      </c>
      <c r="D109">
        <v>0</v>
      </c>
      <c r="E109" s="8" t="str">
        <f t="shared" si="1"/>
        <v>ASEAN [Thailand] 0</v>
      </c>
    </row>
    <row r="110" spans="1:5" ht="15.6" x14ac:dyDescent="0.3">
      <c r="A110">
        <v>2021</v>
      </c>
      <c r="B110" t="s">
        <v>9</v>
      </c>
      <c r="C110" t="s">
        <v>14</v>
      </c>
      <c r="D110">
        <v>0</v>
      </c>
      <c r="E110" s="8" t="str">
        <f t="shared" si="1"/>
        <v>ASEAN [Vietnam] 0</v>
      </c>
    </row>
    <row r="111" spans="1:5" ht="15.6" x14ac:dyDescent="0.3">
      <c r="A111">
        <v>2021</v>
      </c>
      <c r="B111" t="s">
        <v>30</v>
      </c>
      <c r="C111" t="s">
        <v>31</v>
      </c>
      <c r="D111">
        <v>0</v>
      </c>
      <c r="E111" s="8" t="str">
        <f t="shared" si="1"/>
        <v>Afrika [Afrika Selatan] 0</v>
      </c>
    </row>
    <row r="112" spans="1:5" ht="15.6" x14ac:dyDescent="0.3">
      <c r="A112">
        <v>2021</v>
      </c>
      <c r="B112" t="s">
        <v>31</v>
      </c>
      <c r="C112" t="s">
        <v>42</v>
      </c>
      <c r="D112">
        <v>0</v>
      </c>
      <c r="E112" s="8" t="str">
        <f t="shared" si="1"/>
        <v>Afrika Selatan [Bali] 0</v>
      </c>
    </row>
    <row r="113" spans="1:5" ht="15.6" x14ac:dyDescent="0.3">
      <c r="A113">
        <v>2021</v>
      </c>
      <c r="B113" t="s">
        <v>27</v>
      </c>
      <c r="C113" t="s">
        <v>29</v>
      </c>
      <c r="D113">
        <v>0</v>
      </c>
      <c r="E113" s="8" t="str">
        <f t="shared" si="1"/>
        <v>Amerika [Canada] 0</v>
      </c>
    </row>
    <row r="114" spans="1:5" ht="15.6" x14ac:dyDescent="0.3">
      <c r="A114">
        <v>2021</v>
      </c>
      <c r="B114" t="s">
        <v>27</v>
      </c>
      <c r="C114" t="s">
        <v>28</v>
      </c>
      <c r="D114">
        <v>9</v>
      </c>
      <c r="E114" s="8" t="str">
        <f t="shared" si="1"/>
        <v>Amerika [United States] 9</v>
      </c>
    </row>
    <row r="115" spans="1:5" ht="15.6" x14ac:dyDescent="0.3">
      <c r="A115">
        <v>2021</v>
      </c>
      <c r="B115" t="s">
        <v>4</v>
      </c>
      <c r="C115" t="s">
        <v>2</v>
      </c>
      <c r="D115">
        <v>3</v>
      </c>
      <c r="E115" s="8" t="str">
        <f t="shared" si="1"/>
        <v>Asia Pasifik [Australia] 3</v>
      </c>
    </row>
    <row r="116" spans="1:5" ht="15.6" x14ac:dyDescent="0.3">
      <c r="A116">
        <v>2021</v>
      </c>
      <c r="B116" t="s">
        <v>4</v>
      </c>
      <c r="C116" t="s">
        <v>5</v>
      </c>
      <c r="D116">
        <v>12</v>
      </c>
      <c r="E116" s="8" t="str">
        <f t="shared" si="1"/>
        <v>Asia Pasifik [China] 12</v>
      </c>
    </row>
    <row r="117" spans="1:5" ht="15.6" x14ac:dyDescent="0.3">
      <c r="A117">
        <v>2021</v>
      </c>
      <c r="B117" t="s">
        <v>4</v>
      </c>
      <c r="C117" t="s">
        <v>3</v>
      </c>
      <c r="D117">
        <v>0</v>
      </c>
      <c r="E117" s="8" t="str">
        <f t="shared" si="1"/>
        <v>Asia Pasifik [India] 0</v>
      </c>
    </row>
    <row r="118" spans="1:5" ht="15.6" x14ac:dyDescent="0.3">
      <c r="A118">
        <v>2021</v>
      </c>
      <c r="B118" t="s">
        <v>4</v>
      </c>
      <c r="C118" t="s">
        <v>7</v>
      </c>
      <c r="D118">
        <v>14</v>
      </c>
      <c r="E118" s="8" t="str">
        <f t="shared" si="1"/>
        <v>Asia Pasifik [Jepang] 14</v>
      </c>
    </row>
    <row r="119" spans="1:5" ht="15.6" x14ac:dyDescent="0.3">
      <c r="A119">
        <v>2021</v>
      </c>
      <c r="B119" t="s">
        <v>4</v>
      </c>
      <c r="C119" t="s">
        <v>6</v>
      </c>
      <c r="D119">
        <v>0</v>
      </c>
      <c r="E119" s="8" t="str">
        <f t="shared" si="1"/>
        <v>Asia Pasifik [Korea Selatan] 0</v>
      </c>
    </row>
    <row r="120" spans="1:5" ht="15.6" x14ac:dyDescent="0.3">
      <c r="A120">
        <v>2021</v>
      </c>
      <c r="B120" t="s">
        <v>4</v>
      </c>
      <c r="C120" t="s">
        <v>8</v>
      </c>
      <c r="D120">
        <v>0</v>
      </c>
      <c r="E120" s="8" t="str">
        <f t="shared" si="1"/>
        <v>Asia Pasifik [Taiwan] 0</v>
      </c>
    </row>
    <row r="121" spans="1:5" ht="15.6" x14ac:dyDescent="0.3">
      <c r="A121">
        <v>2021</v>
      </c>
      <c r="B121" t="s">
        <v>2</v>
      </c>
      <c r="C121" t="s">
        <v>42</v>
      </c>
      <c r="D121">
        <v>3</v>
      </c>
      <c r="E121" s="8" t="str">
        <f t="shared" si="1"/>
        <v>Australia [Bali] 3</v>
      </c>
    </row>
    <row r="122" spans="1:5" ht="15.6" x14ac:dyDescent="0.3">
      <c r="A122">
        <v>2021</v>
      </c>
      <c r="B122" t="s">
        <v>18</v>
      </c>
      <c r="C122" t="s">
        <v>42</v>
      </c>
      <c r="D122">
        <v>0</v>
      </c>
      <c r="E122" s="8" t="str">
        <f t="shared" si="1"/>
        <v>Brunei Darussalam [Bali] 0</v>
      </c>
    </row>
    <row r="123" spans="1:5" ht="15.6" x14ac:dyDescent="0.3">
      <c r="A123">
        <v>2021</v>
      </c>
      <c r="B123" t="s">
        <v>16</v>
      </c>
      <c r="C123" t="s">
        <v>42</v>
      </c>
      <c r="D123">
        <v>0</v>
      </c>
      <c r="E123" s="8" t="str">
        <f t="shared" si="1"/>
        <v>Cambodia [Bali] 0</v>
      </c>
    </row>
    <row r="124" spans="1:5" ht="15.6" x14ac:dyDescent="0.3">
      <c r="A124">
        <v>2021</v>
      </c>
      <c r="B124" t="s">
        <v>29</v>
      </c>
      <c r="C124" t="s">
        <v>42</v>
      </c>
      <c r="D124">
        <v>0</v>
      </c>
      <c r="E124" s="8" t="str">
        <f t="shared" si="1"/>
        <v>Canada [Bali] 0</v>
      </c>
    </row>
    <row r="125" spans="1:5" ht="15.6" x14ac:dyDescent="0.3">
      <c r="A125">
        <v>2021</v>
      </c>
      <c r="B125" t="s">
        <v>5</v>
      </c>
      <c r="C125" t="s">
        <v>42</v>
      </c>
      <c r="D125">
        <v>12</v>
      </c>
      <c r="E125" s="8" t="str">
        <f t="shared" si="1"/>
        <v>China [Bali] 12</v>
      </c>
    </row>
    <row r="126" spans="1:5" ht="15.6" x14ac:dyDescent="0.3">
      <c r="A126">
        <v>2021</v>
      </c>
      <c r="B126" t="s">
        <v>19</v>
      </c>
      <c r="C126" t="s">
        <v>21</v>
      </c>
      <c r="D126">
        <v>0</v>
      </c>
      <c r="E126" s="8" t="str">
        <f t="shared" si="1"/>
        <v>Eropa [France] 0</v>
      </c>
    </row>
    <row r="127" spans="1:5" ht="15.6" x14ac:dyDescent="0.3">
      <c r="A127">
        <v>2021</v>
      </c>
      <c r="B127" t="s">
        <v>19</v>
      </c>
      <c r="C127" t="s">
        <v>22</v>
      </c>
      <c r="D127">
        <v>0</v>
      </c>
      <c r="E127" s="8" t="str">
        <f t="shared" si="1"/>
        <v>Eropa [Germany] 0</v>
      </c>
    </row>
    <row r="128" spans="1:5" ht="15.6" x14ac:dyDescent="0.3">
      <c r="A128">
        <v>2021</v>
      </c>
      <c r="B128" t="s">
        <v>19</v>
      </c>
      <c r="C128" t="s">
        <v>25</v>
      </c>
      <c r="D128">
        <v>0</v>
      </c>
      <c r="E128" s="8" t="str">
        <f t="shared" si="1"/>
        <v>Eropa [Italy] 0</v>
      </c>
    </row>
    <row r="129" spans="1:5" ht="15.6" x14ac:dyDescent="0.3">
      <c r="A129">
        <v>2021</v>
      </c>
      <c r="B129" t="s">
        <v>19</v>
      </c>
      <c r="C129" t="s">
        <v>24</v>
      </c>
      <c r="D129">
        <v>0</v>
      </c>
      <c r="E129" s="8" t="str">
        <f t="shared" si="1"/>
        <v>Eropa [Netherlands] 0</v>
      </c>
    </row>
    <row r="130" spans="1:5" ht="15.6" x14ac:dyDescent="0.3">
      <c r="A130">
        <v>2021</v>
      </c>
      <c r="B130" t="s">
        <v>19</v>
      </c>
      <c r="C130" t="s">
        <v>23</v>
      </c>
      <c r="D130">
        <v>3</v>
      </c>
      <c r="E130" s="8" t="str">
        <f t="shared" si="1"/>
        <v>Eropa [Russia] 3</v>
      </c>
    </row>
    <row r="131" spans="1:5" ht="15.6" x14ac:dyDescent="0.3">
      <c r="A131">
        <v>2021</v>
      </c>
      <c r="B131" t="s">
        <v>19</v>
      </c>
      <c r="C131" t="s">
        <v>26</v>
      </c>
      <c r="D131">
        <v>0</v>
      </c>
      <c r="E131" s="8" t="str">
        <f t="shared" ref="E131:E194" si="2">B131&amp;" "&amp;"["&amp;C131&amp;"]"&amp;" "&amp;D131</f>
        <v>Eropa [Spain] 0</v>
      </c>
    </row>
    <row r="132" spans="1:5" ht="15.6" x14ac:dyDescent="0.3">
      <c r="A132">
        <v>2021</v>
      </c>
      <c r="B132" t="s">
        <v>19</v>
      </c>
      <c r="C132" t="s">
        <v>20</v>
      </c>
      <c r="D132">
        <v>0</v>
      </c>
      <c r="E132" s="8" t="str">
        <f t="shared" si="2"/>
        <v>Eropa [United Kingdom] 0</v>
      </c>
    </row>
    <row r="133" spans="1:5" ht="15.6" x14ac:dyDescent="0.3">
      <c r="A133">
        <v>2021</v>
      </c>
      <c r="B133" t="s">
        <v>21</v>
      </c>
      <c r="C133" t="s">
        <v>42</v>
      </c>
      <c r="D133">
        <v>0</v>
      </c>
      <c r="E133" s="8" t="str">
        <f t="shared" si="2"/>
        <v>France [Bali] 0</v>
      </c>
    </row>
    <row r="134" spans="1:5" ht="15.6" x14ac:dyDescent="0.3">
      <c r="A134">
        <v>2021</v>
      </c>
      <c r="B134" t="s">
        <v>22</v>
      </c>
      <c r="C134" t="s">
        <v>42</v>
      </c>
      <c r="D134">
        <v>0</v>
      </c>
      <c r="E134" s="8" t="str">
        <f t="shared" si="2"/>
        <v>Germany [Bali] 0</v>
      </c>
    </row>
    <row r="135" spans="1:5" ht="15.6" x14ac:dyDescent="0.3">
      <c r="A135">
        <v>2021</v>
      </c>
      <c r="B135" t="s">
        <v>3</v>
      </c>
      <c r="C135" t="s">
        <v>42</v>
      </c>
      <c r="D135">
        <v>0</v>
      </c>
      <c r="E135" s="8" t="str">
        <f t="shared" si="2"/>
        <v>India [Bali] 0</v>
      </c>
    </row>
    <row r="136" spans="1:5" ht="15.6" x14ac:dyDescent="0.3">
      <c r="A136">
        <v>2021</v>
      </c>
      <c r="B136" t="s">
        <v>25</v>
      </c>
      <c r="C136" t="s">
        <v>42</v>
      </c>
      <c r="D136">
        <v>0</v>
      </c>
      <c r="E136" s="8" t="str">
        <f t="shared" si="2"/>
        <v>Italy [Bali] 0</v>
      </c>
    </row>
    <row r="137" spans="1:5" ht="15.6" x14ac:dyDescent="0.3">
      <c r="A137">
        <v>2021</v>
      </c>
      <c r="B137" t="s">
        <v>7</v>
      </c>
      <c r="C137" t="s">
        <v>42</v>
      </c>
      <c r="D137">
        <v>14</v>
      </c>
      <c r="E137" s="8" t="str">
        <f t="shared" si="2"/>
        <v>Jepang [Bali] 14</v>
      </c>
    </row>
    <row r="138" spans="1:5" ht="15.6" x14ac:dyDescent="0.3">
      <c r="A138">
        <v>2021</v>
      </c>
      <c r="B138" t="s">
        <v>6</v>
      </c>
      <c r="C138" t="s">
        <v>42</v>
      </c>
      <c r="D138">
        <v>0</v>
      </c>
      <c r="E138" s="8" t="str">
        <f t="shared" si="2"/>
        <v>Korea Selatan [Bali] 0</v>
      </c>
    </row>
    <row r="139" spans="1:5" ht="15.6" x14ac:dyDescent="0.3">
      <c r="A139">
        <v>2021</v>
      </c>
      <c r="B139" t="s">
        <v>17</v>
      </c>
      <c r="C139" t="s">
        <v>42</v>
      </c>
      <c r="D139">
        <v>0</v>
      </c>
      <c r="E139" s="8" t="str">
        <f t="shared" si="2"/>
        <v>Laos [Bali] 0</v>
      </c>
    </row>
    <row r="140" spans="1:5" ht="15.6" x14ac:dyDescent="0.3">
      <c r="A140">
        <v>2021</v>
      </c>
      <c r="B140" t="s">
        <v>10</v>
      </c>
      <c r="C140" t="s">
        <v>42</v>
      </c>
      <c r="D140">
        <v>0</v>
      </c>
      <c r="E140" s="8" t="str">
        <f t="shared" si="2"/>
        <v>Malaysia [Bali] 0</v>
      </c>
    </row>
    <row r="141" spans="1:5" ht="15.6" x14ac:dyDescent="0.3">
      <c r="A141">
        <v>2021</v>
      </c>
      <c r="B141" t="s">
        <v>15</v>
      </c>
      <c r="C141" t="s">
        <v>42</v>
      </c>
      <c r="D141">
        <v>0</v>
      </c>
      <c r="E141" s="8" t="str">
        <f t="shared" si="2"/>
        <v>Myanmar [Bali] 0</v>
      </c>
    </row>
    <row r="142" spans="1:5" ht="15.6" x14ac:dyDescent="0.3">
      <c r="A142">
        <v>2021</v>
      </c>
      <c r="B142" t="s">
        <v>24</v>
      </c>
      <c r="C142" t="s">
        <v>42</v>
      </c>
      <c r="D142">
        <v>0</v>
      </c>
      <c r="E142" s="8" t="str">
        <f t="shared" si="2"/>
        <v>Netherlands [Bali] 0</v>
      </c>
    </row>
    <row r="143" spans="1:5" ht="15.6" x14ac:dyDescent="0.3">
      <c r="A143">
        <v>2021</v>
      </c>
      <c r="B143" t="s">
        <v>12</v>
      </c>
      <c r="C143" t="s">
        <v>42</v>
      </c>
      <c r="D143">
        <v>8</v>
      </c>
      <c r="E143" s="8" t="str">
        <f t="shared" si="2"/>
        <v>Philippines [Bali] 8</v>
      </c>
    </row>
    <row r="144" spans="1:5" ht="15.6" x14ac:dyDescent="0.3">
      <c r="A144">
        <v>2021</v>
      </c>
      <c r="B144" t="s">
        <v>23</v>
      </c>
      <c r="C144" t="s">
        <v>42</v>
      </c>
      <c r="D144">
        <v>3</v>
      </c>
      <c r="E144" s="8" t="str">
        <f t="shared" si="2"/>
        <v>Russia [Bali] 3</v>
      </c>
    </row>
    <row r="145" spans="1:5" ht="15.6" x14ac:dyDescent="0.3">
      <c r="A145">
        <v>2021</v>
      </c>
      <c r="B145" t="s">
        <v>11</v>
      </c>
      <c r="C145" t="s">
        <v>42</v>
      </c>
      <c r="D145">
        <v>1</v>
      </c>
      <c r="E145" s="8" t="str">
        <f t="shared" si="2"/>
        <v>Singapore [Bali] 1</v>
      </c>
    </row>
    <row r="146" spans="1:5" ht="15.6" x14ac:dyDescent="0.3">
      <c r="A146">
        <v>2021</v>
      </c>
      <c r="B146" t="s">
        <v>26</v>
      </c>
      <c r="C146" t="s">
        <v>42</v>
      </c>
      <c r="D146">
        <v>0</v>
      </c>
      <c r="E146" s="8" t="str">
        <f t="shared" si="2"/>
        <v>Spain [Bali] 0</v>
      </c>
    </row>
    <row r="147" spans="1:5" ht="15.6" x14ac:dyDescent="0.3">
      <c r="A147">
        <v>2021</v>
      </c>
      <c r="B147" t="s">
        <v>8</v>
      </c>
      <c r="C147" t="s">
        <v>42</v>
      </c>
      <c r="D147">
        <v>0</v>
      </c>
      <c r="E147" s="8" t="str">
        <f t="shared" si="2"/>
        <v>Taiwan [Bali] 0</v>
      </c>
    </row>
    <row r="148" spans="1:5" ht="15.6" x14ac:dyDescent="0.3">
      <c r="A148">
        <v>2021</v>
      </c>
      <c r="B148" t="s">
        <v>13</v>
      </c>
      <c r="C148" t="s">
        <v>42</v>
      </c>
      <c r="D148">
        <v>0</v>
      </c>
      <c r="E148" s="8" t="str">
        <f t="shared" si="2"/>
        <v>Thailand [Bali] 0</v>
      </c>
    </row>
    <row r="149" spans="1:5" ht="15.6" x14ac:dyDescent="0.3">
      <c r="A149">
        <v>2021</v>
      </c>
      <c r="B149" t="s">
        <v>20</v>
      </c>
      <c r="C149" t="s">
        <v>42</v>
      </c>
      <c r="D149">
        <v>0</v>
      </c>
      <c r="E149" s="8" t="str">
        <f t="shared" si="2"/>
        <v>United Kingdom [Bali] 0</v>
      </c>
    </row>
    <row r="150" spans="1:5" ht="15.6" x14ac:dyDescent="0.3">
      <c r="A150">
        <v>2021</v>
      </c>
      <c r="B150" t="s">
        <v>28</v>
      </c>
      <c r="C150" t="s">
        <v>42</v>
      </c>
      <c r="D150">
        <v>9</v>
      </c>
      <c r="E150" s="8" t="str">
        <f t="shared" si="2"/>
        <v>United States [Bali] 9</v>
      </c>
    </row>
    <row r="151" spans="1:5" ht="15.6" x14ac:dyDescent="0.3">
      <c r="A151">
        <v>2021</v>
      </c>
      <c r="B151" t="s">
        <v>14</v>
      </c>
      <c r="C151" t="s">
        <v>42</v>
      </c>
      <c r="D151">
        <v>0</v>
      </c>
      <c r="E151" s="8" t="str">
        <f t="shared" si="2"/>
        <v>Vietnam [Bali] 0</v>
      </c>
    </row>
    <row r="152" spans="1:5" ht="15.6" x14ac:dyDescent="0.3">
      <c r="A152">
        <v>2022</v>
      </c>
      <c r="B152" t="s">
        <v>9</v>
      </c>
      <c r="C152" t="s">
        <v>18</v>
      </c>
      <c r="D152">
        <v>160</v>
      </c>
      <c r="E152" s="8" t="str">
        <f t="shared" si="2"/>
        <v>ASEAN [Brunei Darussalam] 160</v>
      </c>
    </row>
    <row r="153" spans="1:5" ht="15.6" x14ac:dyDescent="0.3">
      <c r="A153">
        <v>2022</v>
      </c>
      <c r="B153" t="s">
        <v>9</v>
      </c>
      <c r="C153" t="s">
        <v>16</v>
      </c>
      <c r="D153">
        <v>2294</v>
      </c>
      <c r="E153" s="8" t="str">
        <f t="shared" si="2"/>
        <v>ASEAN [Cambodia] 2294</v>
      </c>
    </row>
    <row r="154" spans="1:5" ht="15.6" x14ac:dyDescent="0.3">
      <c r="A154">
        <v>2022</v>
      </c>
      <c r="B154" t="s">
        <v>9</v>
      </c>
      <c r="C154" t="s">
        <v>17</v>
      </c>
      <c r="D154">
        <v>107</v>
      </c>
      <c r="E154" s="8" t="str">
        <f t="shared" si="2"/>
        <v>ASEAN [Laos] 107</v>
      </c>
    </row>
    <row r="155" spans="1:5" ht="15.6" x14ac:dyDescent="0.3">
      <c r="A155">
        <v>2022</v>
      </c>
      <c r="B155" t="s">
        <v>9</v>
      </c>
      <c r="C155" t="s">
        <v>10</v>
      </c>
      <c r="D155">
        <v>91058</v>
      </c>
      <c r="E155" s="8" t="str">
        <f t="shared" si="2"/>
        <v>ASEAN [Malaysia] 91058</v>
      </c>
    </row>
    <row r="156" spans="1:5" ht="15.6" x14ac:dyDescent="0.3">
      <c r="A156">
        <v>2022</v>
      </c>
      <c r="B156" t="s">
        <v>9</v>
      </c>
      <c r="C156" t="s">
        <v>15</v>
      </c>
      <c r="D156">
        <v>3179</v>
      </c>
      <c r="E156" s="8" t="str">
        <f t="shared" si="2"/>
        <v>ASEAN [Myanmar] 3179</v>
      </c>
    </row>
    <row r="157" spans="1:5" ht="15.6" x14ac:dyDescent="0.3">
      <c r="A157">
        <v>2022</v>
      </c>
      <c r="B157" t="s">
        <v>9</v>
      </c>
      <c r="C157" t="s">
        <v>12</v>
      </c>
      <c r="D157">
        <v>30559</v>
      </c>
      <c r="E157" s="8" t="str">
        <f t="shared" si="2"/>
        <v>ASEAN [Philippines] 30559</v>
      </c>
    </row>
    <row r="158" spans="1:5" ht="15.6" x14ac:dyDescent="0.3">
      <c r="A158">
        <v>2022</v>
      </c>
      <c r="B158" t="s">
        <v>9</v>
      </c>
      <c r="C158" t="s">
        <v>11</v>
      </c>
      <c r="D158">
        <v>129088</v>
      </c>
      <c r="E158" s="8" t="str">
        <f t="shared" si="2"/>
        <v>ASEAN [Singapore] 129088</v>
      </c>
    </row>
    <row r="159" spans="1:5" ht="15.6" x14ac:dyDescent="0.3">
      <c r="A159">
        <v>2022</v>
      </c>
      <c r="B159" t="s">
        <v>9</v>
      </c>
      <c r="C159" t="s">
        <v>13</v>
      </c>
      <c r="D159">
        <v>17601</v>
      </c>
      <c r="E159" s="8" t="str">
        <f t="shared" si="2"/>
        <v>ASEAN [Thailand] 17601</v>
      </c>
    </row>
    <row r="160" spans="1:5" ht="15.6" x14ac:dyDescent="0.3">
      <c r="A160">
        <v>2022</v>
      </c>
      <c r="B160" t="s">
        <v>9</v>
      </c>
      <c r="C160" t="s">
        <v>14</v>
      </c>
      <c r="D160">
        <v>39289</v>
      </c>
      <c r="E160" s="8" t="str">
        <f t="shared" si="2"/>
        <v>ASEAN [Vietnam] 39289</v>
      </c>
    </row>
    <row r="161" spans="1:5" ht="15.6" x14ac:dyDescent="0.3">
      <c r="A161">
        <v>2022</v>
      </c>
      <c r="B161" t="s">
        <v>30</v>
      </c>
      <c r="C161" t="s">
        <v>31</v>
      </c>
      <c r="D161">
        <v>10043</v>
      </c>
      <c r="E161" s="8" t="str">
        <f t="shared" si="2"/>
        <v>Afrika [Afrika Selatan] 10043</v>
      </c>
    </row>
    <row r="162" spans="1:5" ht="15.6" x14ac:dyDescent="0.3">
      <c r="A162">
        <v>2022</v>
      </c>
      <c r="B162" t="s">
        <v>31</v>
      </c>
      <c r="C162" t="s">
        <v>42</v>
      </c>
      <c r="D162">
        <v>10043</v>
      </c>
      <c r="E162" s="8" t="str">
        <f t="shared" si="2"/>
        <v>Afrika Selatan [Bali] 10043</v>
      </c>
    </row>
    <row r="163" spans="1:5" ht="15.6" x14ac:dyDescent="0.3">
      <c r="A163">
        <v>2022</v>
      </c>
      <c r="B163" t="s">
        <v>27</v>
      </c>
      <c r="C163" t="s">
        <v>29</v>
      </c>
      <c r="D163">
        <v>24329</v>
      </c>
      <c r="E163" s="8" t="str">
        <f t="shared" si="2"/>
        <v>Amerika [Canada] 24329</v>
      </c>
    </row>
    <row r="164" spans="1:5" ht="15.6" x14ac:dyDescent="0.3">
      <c r="A164">
        <v>2022</v>
      </c>
      <c r="B164" t="s">
        <v>27</v>
      </c>
      <c r="C164" t="s">
        <v>28</v>
      </c>
      <c r="D164">
        <v>108132</v>
      </c>
      <c r="E164" s="8" t="str">
        <f t="shared" si="2"/>
        <v>Amerika [United States] 108132</v>
      </c>
    </row>
    <row r="165" spans="1:5" ht="15.6" x14ac:dyDescent="0.3">
      <c r="A165">
        <v>2022</v>
      </c>
      <c r="B165" t="s">
        <v>4</v>
      </c>
      <c r="C165" t="s">
        <v>2</v>
      </c>
      <c r="D165">
        <v>605955</v>
      </c>
      <c r="E165" s="8" t="str">
        <f t="shared" si="2"/>
        <v>Asia Pasifik [Australia] 605955</v>
      </c>
    </row>
    <row r="166" spans="1:5" ht="15.6" x14ac:dyDescent="0.3">
      <c r="A166">
        <v>2022</v>
      </c>
      <c r="B166" t="s">
        <v>4</v>
      </c>
      <c r="C166" t="s">
        <v>5</v>
      </c>
      <c r="D166">
        <v>33087</v>
      </c>
      <c r="E166" s="8" t="str">
        <f t="shared" si="2"/>
        <v>Asia Pasifik [China] 33087</v>
      </c>
    </row>
    <row r="167" spans="1:5" ht="15.6" x14ac:dyDescent="0.3">
      <c r="A167">
        <v>2022</v>
      </c>
      <c r="B167" t="s">
        <v>4</v>
      </c>
      <c r="C167" t="s">
        <v>3</v>
      </c>
      <c r="D167">
        <v>181888</v>
      </c>
      <c r="E167" s="8" t="str">
        <f t="shared" si="2"/>
        <v>Asia Pasifik [India] 181888</v>
      </c>
    </row>
    <row r="168" spans="1:5" ht="15.6" x14ac:dyDescent="0.3">
      <c r="A168">
        <v>2022</v>
      </c>
      <c r="B168" t="s">
        <v>4</v>
      </c>
      <c r="C168" t="s">
        <v>7</v>
      </c>
      <c r="D168">
        <v>20021</v>
      </c>
      <c r="E168" s="8" t="str">
        <f t="shared" si="2"/>
        <v>Asia Pasifik [Jepang] 20021</v>
      </c>
    </row>
    <row r="169" spans="1:5" ht="15.6" x14ac:dyDescent="0.3">
      <c r="A169">
        <v>2022</v>
      </c>
      <c r="B169" t="s">
        <v>4</v>
      </c>
      <c r="C169" t="s">
        <v>6</v>
      </c>
      <c r="D169">
        <v>63037</v>
      </c>
      <c r="E169" s="8" t="str">
        <f t="shared" si="2"/>
        <v>Asia Pasifik [Korea Selatan] 63037</v>
      </c>
    </row>
    <row r="170" spans="1:5" ht="15.6" x14ac:dyDescent="0.3">
      <c r="A170">
        <v>2022</v>
      </c>
      <c r="B170" t="s">
        <v>4</v>
      </c>
      <c r="C170" t="s">
        <v>8</v>
      </c>
      <c r="D170">
        <v>8400</v>
      </c>
      <c r="E170" s="8" t="str">
        <f t="shared" si="2"/>
        <v>Asia Pasifik [Taiwan] 8400</v>
      </c>
    </row>
    <row r="171" spans="1:5" ht="15.6" x14ac:dyDescent="0.3">
      <c r="A171">
        <v>2022</v>
      </c>
      <c r="B171" t="s">
        <v>2</v>
      </c>
      <c r="C171" t="s">
        <v>42</v>
      </c>
      <c r="D171">
        <v>605955</v>
      </c>
      <c r="E171" s="8" t="str">
        <f t="shared" si="2"/>
        <v>Australia [Bali] 605955</v>
      </c>
    </row>
    <row r="172" spans="1:5" ht="15.6" x14ac:dyDescent="0.3">
      <c r="A172">
        <v>2022</v>
      </c>
      <c r="B172" t="s">
        <v>18</v>
      </c>
      <c r="C172" t="s">
        <v>42</v>
      </c>
      <c r="D172">
        <v>160</v>
      </c>
      <c r="E172" s="8" t="str">
        <f t="shared" si="2"/>
        <v>Brunei Darussalam [Bali] 160</v>
      </c>
    </row>
    <row r="173" spans="1:5" ht="15.6" x14ac:dyDescent="0.3">
      <c r="A173">
        <v>2022</v>
      </c>
      <c r="B173" t="s">
        <v>16</v>
      </c>
      <c r="C173" t="s">
        <v>42</v>
      </c>
      <c r="D173">
        <v>2294</v>
      </c>
      <c r="E173" s="8" t="str">
        <f t="shared" si="2"/>
        <v>Cambodia [Bali] 2294</v>
      </c>
    </row>
    <row r="174" spans="1:5" ht="15.6" x14ac:dyDescent="0.3">
      <c r="A174">
        <v>2022</v>
      </c>
      <c r="B174" t="s">
        <v>29</v>
      </c>
      <c r="C174" t="s">
        <v>42</v>
      </c>
      <c r="D174">
        <v>24329</v>
      </c>
      <c r="E174" s="8" t="str">
        <f t="shared" si="2"/>
        <v>Canada [Bali] 24329</v>
      </c>
    </row>
    <row r="175" spans="1:5" ht="15.6" x14ac:dyDescent="0.3">
      <c r="A175">
        <v>2022</v>
      </c>
      <c r="B175" t="s">
        <v>5</v>
      </c>
      <c r="C175" t="s">
        <v>42</v>
      </c>
      <c r="D175">
        <v>33087</v>
      </c>
      <c r="E175" s="8" t="str">
        <f t="shared" si="2"/>
        <v>China [Bali] 33087</v>
      </c>
    </row>
    <row r="176" spans="1:5" ht="15.6" x14ac:dyDescent="0.3">
      <c r="A176">
        <v>2022</v>
      </c>
      <c r="B176" t="s">
        <v>19</v>
      </c>
      <c r="C176" t="s">
        <v>21</v>
      </c>
      <c r="D176">
        <v>95510</v>
      </c>
      <c r="E176" s="8" t="str">
        <f t="shared" si="2"/>
        <v>Eropa [France] 95510</v>
      </c>
    </row>
    <row r="177" spans="1:5" ht="15.6" x14ac:dyDescent="0.3">
      <c r="A177">
        <v>2022</v>
      </c>
      <c r="B177" t="s">
        <v>19</v>
      </c>
      <c r="C177" t="s">
        <v>22</v>
      </c>
      <c r="D177">
        <v>94516</v>
      </c>
      <c r="E177" s="8" t="str">
        <f t="shared" si="2"/>
        <v>Eropa [Germany] 94516</v>
      </c>
    </row>
    <row r="178" spans="1:5" ht="15.6" x14ac:dyDescent="0.3">
      <c r="A178">
        <v>2022</v>
      </c>
      <c r="B178" t="s">
        <v>19</v>
      </c>
      <c r="C178" t="s">
        <v>25</v>
      </c>
      <c r="D178">
        <v>27729</v>
      </c>
      <c r="E178" s="8" t="str">
        <f t="shared" si="2"/>
        <v>Eropa [Italy] 27729</v>
      </c>
    </row>
    <row r="179" spans="1:5" ht="15.6" x14ac:dyDescent="0.3">
      <c r="A179">
        <v>2022</v>
      </c>
      <c r="B179" t="s">
        <v>19</v>
      </c>
      <c r="C179" t="s">
        <v>24</v>
      </c>
      <c r="D179">
        <v>55730</v>
      </c>
      <c r="E179" s="8" t="str">
        <f t="shared" si="2"/>
        <v>Eropa [Netherlands] 55730</v>
      </c>
    </row>
    <row r="180" spans="1:5" ht="15.6" x14ac:dyDescent="0.3">
      <c r="A180">
        <v>2022</v>
      </c>
      <c r="B180" t="s">
        <v>19</v>
      </c>
      <c r="C180" t="s">
        <v>23</v>
      </c>
      <c r="D180">
        <v>58031</v>
      </c>
      <c r="E180" s="8" t="str">
        <f t="shared" si="2"/>
        <v>Eropa [Russia] 58031</v>
      </c>
    </row>
    <row r="181" spans="1:5" ht="15.6" x14ac:dyDescent="0.3">
      <c r="A181">
        <v>2022</v>
      </c>
      <c r="B181" t="s">
        <v>19</v>
      </c>
      <c r="C181" t="s">
        <v>26</v>
      </c>
      <c r="D181">
        <v>24843</v>
      </c>
      <c r="E181" s="8" t="str">
        <f t="shared" si="2"/>
        <v>Eropa [Spain] 24843</v>
      </c>
    </row>
    <row r="182" spans="1:5" ht="15.6" x14ac:dyDescent="0.3">
      <c r="A182">
        <v>2022</v>
      </c>
      <c r="B182" t="s">
        <v>19</v>
      </c>
      <c r="C182" t="s">
        <v>20</v>
      </c>
      <c r="D182">
        <v>126893</v>
      </c>
      <c r="E182" s="8" t="str">
        <f t="shared" si="2"/>
        <v>Eropa [United Kingdom] 126893</v>
      </c>
    </row>
    <row r="183" spans="1:5" ht="15.6" x14ac:dyDescent="0.3">
      <c r="A183">
        <v>2022</v>
      </c>
      <c r="B183" t="s">
        <v>21</v>
      </c>
      <c r="C183" t="s">
        <v>42</v>
      </c>
      <c r="D183">
        <v>95510</v>
      </c>
      <c r="E183" s="8" t="str">
        <f t="shared" si="2"/>
        <v>France [Bali] 95510</v>
      </c>
    </row>
    <row r="184" spans="1:5" ht="15.6" x14ac:dyDescent="0.3">
      <c r="A184">
        <v>2022</v>
      </c>
      <c r="B184" t="s">
        <v>22</v>
      </c>
      <c r="C184" t="s">
        <v>42</v>
      </c>
      <c r="D184">
        <v>94516</v>
      </c>
      <c r="E184" s="8" t="str">
        <f t="shared" si="2"/>
        <v>Germany [Bali] 94516</v>
      </c>
    </row>
    <row r="185" spans="1:5" ht="15.6" x14ac:dyDescent="0.3">
      <c r="A185">
        <v>2022</v>
      </c>
      <c r="B185" t="s">
        <v>3</v>
      </c>
      <c r="C185" t="s">
        <v>42</v>
      </c>
      <c r="D185">
        <v>181888</v>
      </c>
      <c r="E185" s="8" t="str">
        <f t="shared" si="2"/>
        <v>India [Bali] 181888</v>
      </c>
    </row>
    <row r="186" spans="1:5" ht="15.6" x14ac:dyDescent="0.3">
      <c r="A186">
        <v>2022</v>
      </c>
      <c r="B186" t="s">
        <v>25</v>
      </c>
      <c r="C186" t="s">
        <v>42</v>
      </c>
      <c r="D186">
        <v>27729</v>
      </c>
      <c r="E186" s="8" t="str">
        <f t="shared" si="2"/>
        <v>Italy [Bali] 27729</v>
      </c>
    </row>
    <row r="187" spans="1:5" ht="15.6" x14ac:dyDescent="0.3">
      <c r="A187">
        <v>2022</v>
      </c>
      <c r="B187" t="s">
        <v>7</v>
      </c>
      <c r="C187" t="s">
        <v>42</v>
      </c>
      <c r="D187">
        <v>20021</v>
      </c>
      <c r="E187" s="8" t="str">
        <f t="shared" si="2"/>
        <v>Jepang [Bali] 20021</v>
      </c>
    </row>
    <row r="188" spans="1:5" ht="15.6" x14ac:dyDescent="0.3">
      <c r="A188">
        <v>2022</v>
      </c>
      <c r="B188" t="s">
        <v>6</v>
      </c>
      <c r="C188" t="s">
        <v>42</v>
      </c>
      <c r="D188">
        <v>63037</v>
      </c>
      <c r="E188" s="8" t="str">
        <f t="shared" si="2"/>
        <v>Korea Selatan [Bali] 63037</v>
      </c>
    </row>
    <row r="189" spans="1:5" ht="15.6" x14ac:dyDescent="0.3">
      <c r="A189">
        <v>2022</v>
      </c>
      <c r="B189" t="s">
        <v>17</v>
      </c>
      <c r="C189" t="s">
        <v>42</v>
      </c>
      <c r="D189">
        <v>107</v>
      </c>
      <c r="E189" s="8" t="str">
        <f t="shared" si="2"/>
        <v>Laos [Bali] 107</v>
      </c>
    </row>
    <row r="190" spans="1:5" ht="15.6" x14ac:dyDescent="0.3">
      <c r="A190">
        <v>2022</v>
      </c>
      <c r="B190" t="s">
        <v>10</v>
      </c>
      <c r="C190" t="s">
        <v>42</v>
      </c>
      <c r="D190">
        <v>91058</v>
      </c>
      <c r="E190" s="8" t="str">
        <f t="shared" si="2"/>
        <v>Malaysia [Bali] 91058</v>
      </c>
    </row>
    <row r="191" spans="1:5" ht="15.6" x14ac:dyDescent="0.3">
      <c r="A191">
        <v>2022</v>
      </c>
      <c r="B191" t="s">
        <v>15</v>
      </c>
      <c r="C191" t="s">
        <v>42</v>
      </c>
      <c r="D191">
        <v>3179</v>
      </c>
      <c r="E191" s="8" t="str">
        <f t="shared" si="2"/>
        <v>Myanmar [Bali] 3179</v>
      </c>
    </row>
    <row r="192" spans="1:5" ht="15.6" x14ac:dyDescent="0.3">
      <c r="A192">
        <v>2022</v>
      </c>
      <c r="B192" t="s">
        <v>24</v>
      </c>
      <c r="C192" t="s">
        <v>42</v>
      </c>
      <c r="D192">
        <v>55730</v>
      </c>
      <c r="E192" s="8" t="str">
        <f t="shared" si="2"/>
        <v>Netherlands [Bali] 55730</v>
      </c>
    </row>
    <row r="193" spans="1:5" ht="15.6" x14ac:dyDescent="0.3">
      <c r="A193">
        <v>2022</v>
      </c>
      <c r="B193" t="s">
        <v>12</v>
      </c>
      <c r="C193" t="s">
        <v>42</v>
      </c>
      <c r="D193">
        <v>30559</v>
      </c>
      <c r="E193" s="8" t="str">
        <f t="shared" si="2"/>
        <v>Philippines [Bali] 30559</v>
      </c>
    </row>
    <row r="194" spans="1:5" ht="15.6" x14ac:dyDescent="0.3">
      <c r="A194">
        <v>2022</v>
      </c>
      <c r="B194" t="s">
        <v>23</v>
      </c>
      <c r="C194" t="s">
        <v>42</v>
      </c>
      <c r="D194">
        <v>58031</v>
      </c>
      <c r="E194" s="8" t="str">
        <f t="shared" si="2"/>
        <v>Russia [Bali] 58031</v>
      </c>
    </row>
    <row r="195" spans="1:5" ht="15.6" x14ac:dyDescent="0.3">
      <c r="A195">
        <v>2022</v>
      </c>
      <c r="B195" t="s">
        <v>11</v>
      </c>
      <c r="C195" t="s">
        <v>42</v>
      </c>
      <c r="D195">
        <v>129088</v>
      </c>
      <c r="E195" s="8" t="str">
        <f t="shared" ref="E195:E258" si="3">B195&amp;" "&amp;"["&amp;C195&amp;"]"&amp;" "&amp;D195</f>
        <v>Singapore [Bali] 129088</v>
      </c>
    </row>
    <row r="196" spans="1:5" ht="15.6" x14ac:dyDescent="0.3">
      <c r="A196">
        <v>2022</v>
      </c>
      <c r="B196" t="s">
        <v>26</v>
      </c>
      <c r="C196" t="s">
        <v>42</v>
      </c>
      <c r="D196">
        <v>24843</v>
      </c>
      <c r="E196" s="8" t="str">
        <f t="shared" si="3"/>
        <v>Spain [Bali] 24843</v>
      </c>
    </row>
    <row r="197" spans="1:5" ht="15.6" x14ac:dyDescent="0.3">
      <c r="A197">
        <v>2022</v>
      </c>
      <c r="B197" t="s">
        <v>8</v>
      </c>
      <c r="C197" t="s">
        <v>42</v>
      </c>
      <c r="D197">
        <v>8400</v>
      </c>
      <c r="E197" s="8" t="str">
        <f t="shared" si="3"/>
        <v>Taiwan [Bali] 8400</v>
      </c>
    </row>
    <row r="198" spans="1:5" ht="15.6" x14ac:dyDescent="0.3">
      <c r="A198">
        <v>2022</v>
      </c>
      <c r="B198" t="s">
        <v>13</v>
      </c>
      <c r="C198" t="s">
        <v>42</v>
      </c>
      <c r="D198">
        <v>17601</v>
      </c>
      <c r="E198" s="8" t="str">
        <f t="shared" si="3"/>
        <v>Thailand [Bali] 17601</v>
      </c>
    </row>
    <row r="199" spans="1:5" ht="15.6" x14ac:dyDescent="0.3">
      <c r="A199">
        <v>2022</v>
      </c>
      <c r="B199" t="s">
        <v>20</v>
      </c>
      <c r="C199" t="s">
        <v>42</v>
      </c>
      <c r="D199">
        <v>126893</v>
      </c>
      <c r="E199" s="8" t="str">
        <f t="shared" si="3"/>
        <v>United Kingdom [Bali] 126893</v>
      </c>
    </row>
    <row r="200" spans="1:5" ht="15.6" x14ac:dyDescent="0.3">
      <c r="A200">
        <v>2022</v>
      </c>
      <c r="B200" t="s">
        <v>28</v>
      </c>
      <c r="C200" t="s">
        <v>42</v>
      </c>
      <c r="D200">
        <v>108132</v>
      </c>
      <c r="E200" s="8" t="str">
        <f t="shared" si="3"/>
        <v>United States [Bali] 108132</v>
      </c>
    </row>
    <row r="201" spans="1:5" ht="15.6" x14ac:dyDescent="0.3">
      <c r="A201">
        <v>2022</v>
      </c>
      <c r="B201" t="s">
        <v>14</v>
      </c>
      <c r="C201" t="s">
        <v>42</v>
      </c>
      <c r="D201">
        <v>39289</v>
      </c>
      <c r="E201" s="8" t="str">
        <f t="shared" si="3"/>
        <v>Vietnam [Bali] 39289</v>
      </c>
    </row>
    <row r="202" spans="1:5" ht="15.6" x14ac:dyDescent="0.3">
      <c r="A202">
        <v>2023</v>
      </c>
      <c r="B202" t="s">
        <v>9</v>
      </c>
      <c r="C202" t="s">
        <v>18</v>
      </c>
      <c r="D202">
        <v>1288</v>
      </c>
      <c r="E202" s="8" t="str">
        <f t="shared" si="3"/>
        <v>ASEAN [Brunei Darussalam] 1288</v>
      </c>
    </row>
    <row r="203" spans="1:5" ht="15.6" x14ac:dyDescent="0.3">
      <c r="A203">
        <v>2023</v>
      </c>
      <c r="B203" t="s">
        <v>9</v>
      </c>
      <c r="C203" t="s">
        <v>16</v>
      </c>
      <c r="D203">
        <v>6075</v>
      </c>
      <c r="E203" s="8" t="str">
        <f t="shared" si="3"/>
        <v>ASEAN [Cambodia] 6075</v>
      </c>
    </row>
    <row r="204" spans="1:5" ht="15.6" x14ac:dyDescent="0.3">
      <c r="A204">
        <v>2023</v>
      </c>
      <c r="B204" t="s">
        <v>9</v>
      </c>
      <c r="C204" t="s">
        <v>17</v>
      </c>
      <c r="D204">
        <v>888</v>
      </c>
      <c r="E204" s="8" t="str">
        <f t="shared" si="3"/>
        <v>ASEAN [Laos] 888</v>
      </c>
    </row>
    <row r="205" spans="1:5" ht="15.6" x14ac:dyDescent="0.3">
      <c r="A205">
        <v>2023</v>
      </c>
      <c r="B205" t="s">
        <v>9</v>
      </c>
      <c r="C205" t="s">
        <v>10</v>
      </c>
      <c r="D205">
        <v>207843</v>
      </c>
      <c r="E205" s="8" t="str">
        <f t="shared" si="3"/>
        <v>ASEAN [Malaysia] 207843</v>
      </c>
    </row>
    <row r="206" spans="1:5" ht="15.6" x14ac:dyDescent="0.3">
      <c r="A206">
        <v>2023</v>
      </c>
      <c r="B206" t="s">
        <v>9</v>
      </c>
      <c r="C206" t="s">
        <v>15</v>
      </c>
      <c r="D206">
        <v>9245</v>
      </c>
      <c r="E206" s="8" t="str">
        <f t="shared" si="3"/>
        <v>ASEAN [Myanmar] 9245</v>
      </c>
    </row>
    <row r="207" spans="1:5" ht="15.6" x14ac:dyDescent="0.3">
      <c r="A207">
        <v>2023</v>
      </c>
      <c r="B207" t="s">
        <v>9</v>
      </c>
      <c r="C207" t="s">
        <v>12</v>
      </c>
      <c r="D207">
        <v>93481</v>
      </c>
      <c r="E207" s="8" t="str">
        <f t="shared" si="3"/>
        <v>ASEAN [Philippines] 93481</v>
      </c>
    </row>
    <row r="208" spans="1:5" ht="15.6" x14ac:dyDescent="0.3">
      <c r="A208">
        <v>2023</v>
      </c>
      <c r="B208" t="s">
        <v>9</v>
      </c>
      <c r="C208" t="s">
        <v>11</v>
      </c>
      <c r="D208">
        <v>236203</v>
      </c>
      <c r="E208" s="8" t="str">
        <f t="shared" si="3"/>
        <v>ASEAN [Singapore] 236203</v>
      </c>
    </row>
    <row r="209" spans="1:5" ht="15.6" x14ac:dyDescent="0.3">
      <c r="A209">
        <v>2023</v>
      </c>
      <c r="B209" t="s">
        <v>9</v>
      </c>
      <c r="C209" t="s">
        <v>13</v>
      </c>
      <c r="D209">
        <v>44429</v>
      </c>
      <c r="E209" s="8" t="str">
        <f t="shared" si="3"/>
        <v>ASEAN [Thailand] 44429</v>
      </c>
    </row>
    <row r="210" spans="1:5" ht="15.6" x14ac:dyDescent="0.3">
      <c r="A210">
        <v>2023</v>
      </c>
      <c r="B210" t="s">
        <v>9</v>
      </c>
      <c r="C210" t="s">
        <v>14</v>
      </c>
      <c r="D210">
        <v>72017</v>
      </c>
      <c r="E210" s="8" t="str">
        <f t="shared" si="3"/>
        <v>ASEAN [Vietnam] 72017</v>
      </c>
    </row>
    <row r="211" spans="1:5" ht="15.6" x14ac:dyDescent="0.3">
      <c r="A211">
        <v>2023</v>
      </c>
      <c r="B211" t="s">
        <v>30</v>
      </c>
      <c r="C211" t="s">
        <v>31</v>
      </c>
      <c r="D211">
        <v>28007</v>
      </c>
      <c r="E211" s="8" t="str">
        <f t="shared" si="3"/>
        <v>Afrika [Afrika Selatan] 28007</v>
      </c>
    </row>
    <row r="212" spans="1:5" ht="15.6" x14ac:dyDescent="0.3">
      <c r="A212">
        <v>2023</v>
      </c>
      <c r="B212" t="s">
        <v>31</v>
      </c>
      <c r="C212" t="s">
        <v>42</v>
      </c>
      <c r="D212">
        <v>28007</v>
      </c>
      <c r="E212" s="8" t="str">
        <f t="shared" si="3"/>
        <v>Afrika Selatan [Bali] 28007</v>
      </c>
    </row>
    <row r="213" spans="1:5" ht="15.6" x14ac:dyDescent="0.3">
      <c r="A213">
        <v>2023</v>
      </c>
      <c r="B213" t="s">
        <v>27</v>
      </c>
      <c r="C213" t="s">
        <v>29</v>
      </c>
      <c r="D213">
        <v>59585</v>
      </c>
      <c r="E213" s="8" t="str">
        <f t="shared" si="3"/>
        <v>Amerika [Canada] 59585</v>
      </c>
    </row>
    <row r="214" spans="1:5" ht="15.6" x14ac:dyDescent="0.3">
      <c r="A214">
        <v>2023</v>
      </c>
      <c r="B214" t="s">
        <v>27</v>
      </c>
      <c r="C214" t="s">
        <v>28</v>
      </c>
      <c r="D214">
        <v>248983</v>
      </c>
      <c r="E214" s="8" t="str">
        <f t="shared" si="3"/>
        <v>Amerika [United States] 248983</v>
      </c>
    </row>
    <row r="215" spans="1:5" ht="15.6" x14ac:dyDescent="0.3">
      <c r="A215">
        <v>2023</v>
      </c>
      <c r="B215" t="s">
        <v>4</v>
      </c>
      <c r="C215" t="s">
        <v>2</v>
      </c>
      <c r="D215">
        <v>1324410</v>
      </c>
      <c r="E215" s="8" t="str">
        <f t="shared" si="3"/>
        <v>Asia Pasifik [Australia] 1324410</v>
      </c>
    </row>
    <row r="216" spans="1:5" ht="15.6" x14ac:dyDescent="0.3">
      <c r="A216">
        <v>2023</v>
      </c>
      <c r="B216" t="s">
        <v>4</v>
      </c>
      <c r="C216" t="s">
        <v>5</v>
      </c>
      <c r="D216">
        <v>280111</v>
      </c>
      <c r="E216" s="8" t="str">
        <f t="shared" si="3"/>
        <v>Asia Pasifik [China] 280111</v>
      </c>
    </row>
    <row r="217" spans="1:5" ht="15.6" x14ac:dyDescent="0.3">
      <c r="A217">
        <v>2023</v>
      </c>
      <c r="B217" t="s">
        <v>4</v>
      </c>
      <c r="C217" t="s">
        <v>3</v>
      </c>
      <c r="D217">
        <v>440415</v>
      </c>
      <c r="E217" s="8" t="str">
        <f t="shared" si="3"/>
        <v>Asia Pasifik [India] 440415</v>
      </c>
    </row>
    <row r="218" spans="1:5" ht="15.6" x14ac:dyDescent="0.3">
      <c r="A218">
        <v>2023</v>
      </c>
      <c r="B218" t="s">
        <v>4</v>
      </c>
      <c r="C218" t="s">
        <v>7</v>
      </c>
      <c r="D218">
        <v>116232</v>
      </c>
      <c r="E218" s="8" t="str">
        <f t="shared" si="3"/>
        <v>Asia Pasifik [Jepang] 116232</v>
      </c>
    </row>
    <row r="219" spans="1:5" ht="15.6" x14ac:dyDescent="0.3">
      <c r="A219">
        <v>2023</v>
      </c>
      <c r="B219" t="s">
        <v>4</v>
      </c>
      <c r="C219" t="s">
        <v>6</v>
      </c>
      <c r="D219">
        <v>226789</v>
      </c>
      <c r="E219" s="8" t="str">
        <f t="shared" si="3"/>
        <v>Asia Pasifik [Korea Selatan] 226789</v>
      </c>
    </row>
    <row r="220" spans="1:5" ht="15.6" x14ac:dyDescent="0.3">
      <c r="A220">
        <v>2023</v>
      </c>
      <c r="B220" t="s">
        <v>4</v>
      </c>
      <c r="C220" t="s">
        <v>8</v>
      </c>
      <c r="D220">
        <v>83942</v>
      </c>
      <c r="E220" s="8" t="str">
        <f t="shared" si="3"/>
        <v>Asia Pasifik [Taiwan] 83942</v>
      </c>
    </row>
    <row r="221" spans="1:5" ht="15.6" x14ac:dyDescent="0.3">
      <c r="A221">
        <v>2023</v>
      </c>
      <c r="B221" t="s">
        <v>2</v>
      </c>
      <c r="C221" t="s">
        <v>42</v>
      </c>
      <c r="D221">
        <v>1324410</v>
      </c>
      <c r="E221" s="8" t="str">
        <f t="shared" si="3"/>
        <v>Australia [Bali] 1324410</v>
      </c>
    </row>
    <row r="222" spans="1:5" ht="15.6" x14ac:dyDescent="0.3">
      <c r="A222">
        <v>2023</v>
      </c>
      <c r="B222" t="s">
        <v>18</v>
      </c>
      <c r="C222" t="s">
        <v>42</v>
      </c>
      <c r="D222">
        <v>1288</v>
      </c>
      <c r="E222" s="8" t="str">
        <f t="shared" si="3"/>
        <v>Brunei Darussalam [Bali] 1288</v>
      </c>
    </row>
    <row r="223" spans="1:5" ht="15.6" x14ac:dyDescent="0.3">
      <c r="A223">
        <v>2023</v>
      </c>
      <c r="B223" t="s">
        <v>16</v>
      </c>
      <c r="C223" t="s">
        <v>42</v>
      </c>
      <c r="D223">
        <v>6075</v>
      </c>
      <c r="E223" s="8" t="str">
        <f t="shared" si="3"/>
        <v>Cambodia [Bali] 6075</v>
      </c>
    </row>
    <row r="224" spans="1:5" ht="15.6" x14ac:dyDescent="0.3">
      <c r="A224">
        <v>2023</v>
      </c>
      <c r="B224" t="s">
        <v>29</v>
      </c>
      <c r="C224" t="s">
        <v>42</v>
      </c>
      <c r="D224">
        <v>59585</v>
      </c>
      <c r="E224" s="8" t="str">
        <f t="shared" si="3"/>
        <v>Canada [Bali] 59585</v>
      </c>
    </row>
    <row r="225" spans="1:5" ht="15.6" x14ac:dyDescent="0.3">
      <c r="A225">
        <v>2023</v>
      </c>
      <c r="B225" t="s">
        <v>5</v>
      </c>
      <c r="C225" t="s">
        <v>42</v>
      </c>
      <c r="D225">
        <v>280111</v>
      </c>
      <c r="E225" s="8" t="str">
        <f t="shared" si="3"/>
        <v>China [Bali] 280111</v>
      </c>
    </row>
    <row r="226" spans="1:5" ht="15.6" x14ac:dyDescent="0.3">
      <c r="A226">
        <v>2023</v>
      </c>
      <c r="B226" t="s">
        <v>19</v>
      </c>
      <c r="C226" t="s">
        <v>21</v>
      </c>
      <c r="D226">
        <v>208253</v>
      </c>
      <c r="E226" s="8" t="str">
        <f t="shared" si="3"/>
        <v>Eropa [France] 208253</v>
      </c>
    </row>
    <row r="227" spans="1:5" ht="15.6" x14ac:dyDescent="0.3">
      <c r="A227">
        <v>2023</v>
      </c>
      <c r="B227" t="s">
        <v>19</v>
      </c>
      <c r="C227" t="s">
        <v>22</v>
      </c>
      <c r="D227">
        <v>195727</v>
      </c>
      <c r="E227" s="8" t="str">
        <f t="shared" si="3"/>
        <v>Eropa [Germany] 195727</v>
      </c>
    </row>
    <row r="228" spans="1:5" ht="15.6" x14ac:dyDescent="0.3">
      <c r="A228">
        <v>2023</v>
      </c>
      <c r="B228" t="s">
        <v>19</v>
      </c>
      <c r="C228" t="s">
        <v>25</v>
      </c>
      <c r="D228">
        <v>69974</v>
      </c>
      <c r="E228" s="8" t="str">
        <f t="shared" si="3"/>
        <v>Eropa [Italy] 69974</v>
      </c>
    </row>
    <row r="229" spans="1:5" ht="15.6" x14ac:dyDescent="0.3">
      <c r="A229">
        <v>2023</v>
      </c>
      <c r="B229" t="s">
        <v>19</v>
      </c>
      <c r="C229" t="s">
        <v>24</v>
      </c>
      <c r="D229">
        <v>121116</v>
      </c>
      <c r="E229" s="8" t="str">
        <f t="shared" si="3"/>
        <v>Eropa [Netherlands] 121116</v>
      </c>
    </row>
    <row r="230" spans="1:5" ht="15.6" x14ac:dyDescent="0.3">
      <c r="A230">
        <v>2023</v>
      </c>
      <c r="B230" t="s">
        <v>19</v>
      </c>
      <c r="C230" t="s">
        <v>23</v>
      </c>
      <c r="D230">
        <v>144104</v>
      </c>
      <c r="E230" s="8" t="str">
        <f t="shared" si="3"/>
        <v>Eropa [Russia] 144104</v>
      </c>
    </row>
    <row r="231" spans="1:5" ht="15.6" x14ac:dyDescent="0.3">
      <c r="A231">
        <v>2023</v>
      </c>
      <c r="B231" t="s">
        <v>19</v>
      </c>
      <c r="C231" t="s">
        <v>26</v>
      </c>
      <c r="D231">
        <v>62946</v>
      </c>
      <c r="E231" s="8" t="str">
        <f t="shared" si="3"/>
        <v>Eropa [Spain] 62946</v>
      </c>
    </row>
    <row r="232" spans="1:5" ht="15.6" x14ac:dyDescent="0.3">
      <c r="A232">
        <v>2023</v>
      </c>
      <c r="B232" t="s">
        <v>19</v>
      </c>
      <c r="C232" t="s">
        <v>20</v>
      </c>
      <c r="D232">
        <v>256359</v>
      </c>
      <c r="E232" s="8" t="str">
        <f t="shared" si="3"/>
        <v>Eropa [United Kingdom] 256359</v>
      </c>
    </row>
    <row r="233" spans="1:5" ht="15.6" x14ac:dyDescent="0.3">
      <c r="A233">
        <v>2023</v>
      </c>
      <c r="B233" t="s">
        <v>21</v>
      </c>
      <c r="C233" t="s">
        <v>42</v>
      </c>
      <c r="D233">
        <v>208253</v>
      </c>
      <c r="E233" s="8" t="str">
        <f t="shared" si="3"/>
        <v>France [Bali] 208253</v>
      </c>
    </row>
    <row r="234" spans="1:5" ht="15.6" x14ac:dyDescent="0.3">
      <c r="A234">
        <v>2023</v>
      </c>
      <c r="B234" t="s">
        <v>22</v>
      </c>
      <c r="C234" t="s">
        <v>42</v>
      </c>
      <c r="D234">
        <v>195727</v>
      </c>
      <c r="E234" s="8" t="str">
        <f t="shared" si="3"/>
        <v>Germany [Bali] 195727</v>
      </c>
    </row>
    <row r="235" spans="1:5" ht="15.6" x14ac:dyDescent="0.3">
      <c r="A235">
        <v>2023</v>
      </c>
      <c r="B235" t="s">
        <v>3</v>
      </c>
      <c r="C235" t="s">
        <v>42</v>
      </c>
      <c r="D235">
        <v>440415</v>
      </c>
      <c r="E235" s="8" t="str">
        <f t="shared" si="3"/>
        <v>India [Bali] 440415</v>
      </c>
    </row>
    <row r="236" spans="1:5" ht="15.6" x14ac:dyDescent="0.3">
      <c r="A236">
        <v>2023</v>
      </c>
      <c r="B236" t="s">
        <v>25</v>
      </c>
      <c r="C236" t="s">
        <v>42</v>
      </c>
      <c r="D236">
        <v>69974</v>
      </c>
      <c r="E236" s="8" t="str">
        <f t="shared" si="3"/>
        <v>Italy [Bali] 69974</v>
      </c>
    </row>
    <row r="237" spans="1:5" ht="15.6" x14ac:dyDescent="0.3">
      <c r="A237">
        <v>2023</v>
      </c>
      <c r="B237" t="s">
        <v>7</v>
      </c>
      <c r="C237" t="s">
        <v>42</v>
      </c>
      <c r="D237">
        <v>116232</v>
      </c>
      <c r="E237" s="8" t="str">
        <f t="shared" si="3"/>
        <v>Jepang [Bali] 116232</v>
      </c>
    </row>
    <row r="238" spans="1:5" ht="15.6" x14ac:dyDescent="0.3">
      <c r="A238">
        <v>2023</v>
      </c>
      <c r="B238" t="s">
        <v>6</v>
      </c>
      <c r="C238" t="s">
        <v>42</v>
      </c>
      <c r="D238">
        <v>226789</v>
      </c>
      <c r="E238" s="8" t="str">
        <f t="shared" si="3"/>
        <v>Korea Selatan [Bali] 226789</v>
      </c>
    </row>
    <row r="239" spans="1:5" ht="15.6" x14ac:dyDescent="0.3">
      <c r="A239">
        <v>2023</v>
      </c>
      <c r="B239" t="s">
        <v>17</v>
      </c>
      <c r="C239" t="s">
        <v>42</v>
      </c>
      <c r="D239">
        <v>888</v>
      </c>
      <c r="E239" s="8" t="str">
        <f t="shared" si="3"/>
        <v>Laos [Bali] 888</v>
      </c>
    </row>
    <row r="240" spans="1:5" ht="15.6" x14ac:dyDescent="0.3">
      <c r="A240">
        <v>2023</v>
      </c>
      <c r="B240" t="s">
        <v>10</v>
      </c>
      <c r="C240" t="s">
        <v>42</v>
      </c>
      <c r="D240">
        <v>207843</v>
      </c>
      <c r="E240" s="8" t="str">
        <f t="shared" si="3"/>
        <v>Malaysia [Bali] 207843</v>
      </c>
    </row>
    <row r="241" spans="1:5" ht="15.6" x14ac:dyDescent="0.3">
      <c r="A241">
        <v>2023</v>
      </c>
      <c r="B241" t="s">
        <v>15</v>
      </c>
      <c r="C241" t="s">
        <v>42</v>
      </c>
      <c r="D241">
        <v>9245</v>
      </c>
      <c r="E241" s="8" t="str">
        <f t="shared" si="3"/>
        <v>Myanmar [Bali] 9245</v>
      </c>
    </row>
    <row r="242" spans="1:5" ht="15.6" x14ac:dyDescent="0.3">
      <c r="A242">
        <v>2023</v>
      </c>
      <c r="B242" t="s">
        <v>24</v>
      </c>
      <c r="C242" t="s">
        <v>42</v>
      </c>
      <c r="D242">
        <v>121116</v>
      </c>
      <c r="E242" s="8" t="str">
        <f t="shared" si="3"/>
        <v>Netherlands [Bali] 121116</v>
      </c>
    </row>
    <row r="243" spans="1:5" ht="15.6" x14ac:dyDescent="0.3">
      <c r="A243">
        <v>2023</v>
      </c>
      <c r="B243" t="s">
        <v>12</v>
      </c>
      <c r="C243" t="s">
        <v>42</v>
      </c>
      <c r="D243">
        <v>93481</v>
      </c>
      <c r="E243" s="8" t="str">
        <f t="shared" si="3"/>
        <v>Philippines [Bali] 93481</v>
      </c>
    </row>
    <row r="244" spans="1:5" ht="15.6" x14ac:dyDescent="0.3">
      <c r="A244">
        <v>2023</v>
      </c>
      <c r="B244" t="s">
        <v>23</v>
      </c>
      <c r="C244" t="s">
        <v>42</v>
      </c>
      <c r="D244">
        <v>144104</v>
      </c>
      <c r="E244" s="8" t="str">
        <f t="shared" si="3"/>
        <v>Russia [Bali] 144104</v>
      </c>
    </row>
    <row r="245" spans="1:5" ht="15.6" x14ac:dyDescent="0.3">
      <c r="A245">
        <v>2023</v>
      </c>
      <c r="B245" t="s">
        <v>11</v>
      </c>
      <c r="C245" t="s">
        <v>42</v>
      </c>
      <c r="D245">
        <v>236203</v>
      </c>
      <c r="E245" s="8" t="str">
        <f t="shared" si="3"/>
        <v>Singapore [Bali] 236203</v>
      </c>
    </row>
    <row r="246" spans="1:5" ht="15.6" x14ac:dyDescent="0.3">
      <c r="A246">
        <v>2023</v>
      </c>
      <c r="B246" t="s">
        <v>26</v>
      </c>
      <c r="C246" t="s">
        <v>42</v>
      </c>
      <c r="D246">
        <v>62946</v>
      </c>
      <c r="E246" s="8" t="str">
        <f t="shared" si="3"/>
        <v>Spain [Bali] 62946</v>
      </c>
    </row>
    <row r="247" spans="1:5" ht="15.6" x14ac:dyDescent="0.3">
      <c r="A247">
        <v>2023</v>
      </c>
      <c r="B247" t="s">
        <v>8</v>
      </c>
      <c r="C247" t="s">
        <v>42</v>
      </c>
      <c r="D247">
        <v>83942</v>
      </c>
      <c r="E247" s="8" t="str">
        <f t="shared" si="3"/>
        <v>Taiwan [Bali] 83942</v>
      </c>
    </row>
    <row r="248" spans="1:5" ht="15.6" x14ac:dyDescent="0.3">
      <c r="A248">
        <v>2023</v>
      </c>
      <c r="B248" t="s">
        <v>13</v>
      </c>
      <c r="C248" t="s">
        <v>42</v>
      </c>
      <c r="D248">
        <v>44429</v>
      </c>
      <c r="E248" s="8" t="str">
        <f t="shared" si="3"/>
        <v>Thailand [Bali] 44429</v>
      </c>
    </row>
    <row r="249" spans="1:5" ht="15.6" x14ac:dyDescent="0.3">
      <c r="A249">
        <v>2023</v>
      </c>
      <c r="B249" t="s">
        <v>20</v>
      </c>
      <c r="C249" t="s">
        <v>42</v>
      </c>
      <c r="D249">
        <v>256359</v>
      </c>
      <c r="E249" s="8" t="str">
        <f t="shared" si="3"/>
        <v>United Kingdom [Bali] 256359</v>
      </c>
    </row>
    <row r="250" spans="1:5" ht="15.6" x14ac:dyDescent="0.3">
      <c r="A250">
        <v>2023</v>
      </c>
      <c r="B250" t="s">
        <v>28</v>
      </c>
      <c r="C250" t="s">
        <v>42</v>
      </c>
      <c r="D250">
        <v>248983</v>
      </c>
      <c r="E250" s="8" t="str">
        <f t="shared" si="3"/>
        <v>United States [Bali] 248983</v>
      </c>
    </row>
    <row r="251" spans="1:5" ht="15.6" x14ac:dyDescent="0.3">
      <c r="A251">
        <v>2023</v>
      </c>
      <c r="B251" t="s">
        <v>14</v>
      </c>
      <c r="C251" t="s">
        <v>42</v>
      </c>
      <c r="D251">
        <v>72017</v>
      </c>
      <c r="E251" s="8" t="str">
        <f t="shared" si="3"/>
        <v>Vietnam [Bali] 72017</v>
      </c>
    </row>
    <row r="252" spans="1:5" ht="15.6" x14ac:dyDescent="0.3">
      <c r="A252">
        <v>2024</v>
      </c>
      <c r="B252" t="s">
        <v>9</v>
      </c>
      <c r="C252" t="s">
        <v>18</v>
      </c>
      <c r="D252">
        <v>479</v>
      </c>
      <c r="E252" s="8" t="str">
        <f t="shared" si="3"/>
        <v>ASEAN [Brunei Darussalam] 479</v>
      </c>
    </row>
    <row r="253" spans="1:5" ht="15.6" x14ac:dyDescent="0.3">
      <c r="A253">
        <v>2024</v>
      </c>
      <c r="B253" t="s">
        <v>9</v>
      </c>
      <c r="C253" t="s">
        <v>16</v>
      </c>
      <c r="D253">
        <v>4640</v>
      </c>
      <c r="E253" s="8" t="str">
        <f t="shared" si="3"/>
        <v>ASEAN [Cambodia] 4640</v>
      </c>
    </row>
    <row r="254" spans="1:5" ht="15.6" x14ac:dyDescent="0.3">
      <c r="A254">
        <v>2024</v>
      </c>
      <c r="B254" t="s">
        <v>9</v>
      </c>
      <c r="C254" t="s">
        <v>17</v>
      </c>
      <c r="D254">
        <v>793</v>
      </c>
      <c r="E254" s="8" t="str">
        <f t="shared" si="3"/>
        <v>ASEAN [Laos] 793</v>
      </c>
    </row>
    <row r="255" spans="1:5" ht="15.6" x14ac:dyDescent="0.3">
      <c r="A255">
        <v>2024</v>
      </c>
      <c r="B255" t="s">
        <v>9</v>
      </c>
      <c r="C255" t="s">
        <v>10</v>
      </c>
      <c r="D255">
        <v>246145</v>
      </c>
      <c r="E255" s="8" t="str">
        <f t="shared" si="3"/>
        <v>ASEAN [Malaysia] 246145</v>
      </c>
    </row>
    <row r="256" spans="1:5" ht="15.6" x14ac:dyDescent="0.3">
      <c r="A256">
        <v>2024</v>
      </c>
      <c r="B256" t="s">
        <v>9</v>
      </c>
      <c r="C256" t="s">
        <v>15</v>
      </c>
      <c r="D256">
        <v>9710</v>
      </c>
      <c r="E256" s="8" t="str">
        <f t="shared" si="3"/>
        <v>ASEAN [Myanmar] 9710</v>
      </c>
    </row>
    <row r="257" spans="1:5" ht="15.6" x14ac:dyDescent="0.3">
      <c r="A257">
        <v>2024</v>
      </c>
      <c r="B257" t="s">
        <v>9</v>
      </c>
      <c r="C257" t="s">
        <v>12</v>
      </c>
      <c r="D257">
        <v>103665</v>
      </c>
      <c r="E257" s="8" t="str">
        <f t="shared" si="3"/>
        <v>ASEAN [Philippines] 103665</v>
      </c>
    </row>
    <row r="258" spans="1:5" ht="15.6" x14ac:dyDescent="0.3">
      <c r="A258">
        <v>2024</v>
      </c>
      <c r="B258" t="s">
        <v>9</v>
      </c>
      <c r="C258" t="s">
        <v>11</v>
      </c>
      <c r="D258">
        <v>218926</v>
      </c>
      <c r="E258" s="8" t="str">
        <f t="shared" si="3"/>
        <v>ASEAN [Singapore] 218926</v>
      </c>
    </row>
    <row r="259" spans="1:5" ht="15.6" x14ac:dyDescent="0.3">
      <c r="A259">
        <v>2024</v>
      </c>
      <c r="B259" t="s">
        <v>9</v>
      </c>
      <c r="C259" t="s">
        <v>13</v>
      </c>
      <c r="D259">
        <v>41483</v>
      </c>
      <c r="E259" s="8" t="str">
        <f t="shared" ref="E259:E322" si="4">B259&amp;" "&amp;"["&amp;C259&amp;"]"&amp;" "&amp;D259</f>
        <v>ASEAN [Thailand] 41483</v>
      </c>
    </row>
    <row r="260" spans="1:5" ht="15.6" x14ac:dyDescent="0.3">
      <c r="A260">
        <v>2024</v>
      </c>
      <c r="B260" t="s">
        <v>9</v>
      </c>
      <c r="C260" t="s">
        <v>14</v>
      </c>
      <c r="D260">
        <v>55215</v>
      </c>
      <c r="E260" s="8" t="str">
        <f t="shared" si="4"/>
        <v>ASEAN [Vietnam] 55215</v>
      </c>
    </row>
    <row r="261" spans="1:5" ht="15.6" x14ac:dyDescent="0.3">
      <c r="A261">
        <v>2024</v>
      </c>
      <c r="B261" t="s">
        <v>30</v>
      </c>
      <c r="C261" t="s">
        <v>31</v>
      </c>
      <c r="D261">
        <v>29618</v>
      </c>
      <c r="E261" s="8" t="str">
        <f t="shared" si="4"/>
        <v>Afrika [Afrika Selatan] 29618</v>
      </c>
    </row>
    <row r="262" spans="1:5" ht="15.6" x14ac:dyDescent="0.3">
      <c r="A262">
        <v>2024</v>
      </c>
      <c r="B262" t="s">
        <v>31</v>
      </c>
      <c r="C262" t="s">
        <v>42</v>
      </c>
      <c r="D262">
        <v>29618</v>
      </c>
      <c r="E262" s="8" t="str">
        <f t="shared" si="4"/>
        <v>Afrika Selatan [Bali] 29618</v>
      </c>
    </row>
    <row r="263" spans="1:5" ht="15.6" x14ac:dyDescent="0.3">
      <c r="A263">
        <v>2024</v>
      </c>
      <c r="B263" t="s">
        <v>27</v>
      </c>
      <c r="C263" t="s">
        <v>29</v>
      </c>
      <c r="D263">
        <v>62105</v>
      </c>
      <c r="E263" s="8" t="str">
        <f t="shared" si="4"/>
        <v>Amerika [Canada] 62105</v>
      </c>
    </row>
    <row r="264" spans="1:5" ht="15.6" x14ac:dyDescent="0.3">
      <c r="A264">
        <v>2024</v>
      </c>
      <c r="B264" t="s">
        <v>27</v>
      </c>
      <c r="C264" t="s">
        <v>28</v>
      </c>
      <c r="D264">
        <v>261863</v>
      </c>
      <c r="E264" s="8" t="str">
        <f t="shared" si="4"/>
        <v>Amerika [United States] 261863</v>
      </c>
    </row>
    <row r="265" spans="1:5" ht="15.6" x14ac:dyDescent="0.3">
      <c r="A265">
        <v>2024</v>
      </c>
      <c r="B265" t="s">
        <v>4</v>
      </c>
      <c r="C265" t="s">
        <v>2</v>
      </c>
      <c r="D265">
        <v>1544141</v>
      </c>
      <c r="E265" s="8" t="str">
        <f t="shared" si="4"/>
        <v>Asia Pasifik [Australia] 1544141</v>
      </c>
    </row>
    <row r="266" spans="1:5" ht="15.6" x14ac:dyDescent="0.3">
      <c r="A266">
        <v>2024</v>
      </c>
      <c r="B266" t="s">
        <v>4</v>
      </c>
      <c r="C266" t="s">
        <v>5</v>
      </c>
      <c r="D266">
        <v>448446</v>
      </c>
      <c r="E266" s="8" t="str">
        <f t="shared" si="4"/>
        <v>Asia Pasifik [China] 448446</v>
      </c>
    </row>
    <row r="267" spans="1:5" ht="15.6" x14ac:dyDescent="0.3">
      <c r="A267">
        <v>2024</v>
      </c>
      <c r="B267" t="s">
        <v>4</v>
      </c>
      <c r="C267" t="s">
        <v>3</v>
      </c>
      <c r="D267">
        <v>550379</v>
      </c>
      <c r="E267" s="8" t="str">
        <f t="shared" si="4"/>
        <v>Asia Pasifik [India] 550379</v>
      </c>
    </row>
    <row r="268" spans="1:5" ht="15.6" x14ac:dyDescent="0.3">
      <c r="A268">
        <v>2024</v>
      </c>
      <c r="B268" t="s">
        <v>4</v>
      </c>
      <c r="C268" t="s">
        <v>7</v>
      </c>
      <c r="D268">
        <v>176856</v>
      </c>
      <c r="E268" s="8" t="str">
        <f t="shared" si="4"/>
        <v>Asia Pasifik [Jepang] 176856</v>
      </c>
    </row>
    <row r="269" spans="1:5" ht="15.6" x14ac:dyDescent="0.3">
      <c r="A269">
        <v>2024</v>
      </c>
      <c r="B269" t="s">
        <v>4</v>
      </c>
      <c r="C269" t="s">
        <v>6</v>
      </c>
      <c r="D269">
        <v>294024</v>
      </c>
      <c r="E269" s="8" t="str">
        <f t="shared" si="4"/>
        <v>Asia Pasifik [Korea Selatan] 294024</v>
      </c>
    </row>
    <row r="270" spans="1:5" ht="15.6" x14ac:dyDescent="0.3">
      <c r="A270">
        <v>2024</v>
      </c>
      <c r="B270" t="s">
        <v>4</v>
      </c>
      <c r="C270" t="s">
        <v>8</v>
      </c>
      <c r="D270">
        <v>103509</v>
      </c>
      <c r="E270" s="8" t="str">
        <f t="shared" si="4"/>
        <v>Asia Pasifik [Taiwan] 103509</v>
      </c>
    </row>
    <row r="271" spans="1:5" ht="15.6" x14ac:dyDescent="0.3">
      <c r="A271">
        <v>2024</v>
      </c>
      <c r="B271" t="s">
        <v>2</v>
      </c>
      <c r="C271" t="s">
        <v>42</v>
      </c>
      <c r="D271">
        <v>1544141</v>
      </c>
      <c r="E271" s="8" t="str">
        <f t="shared" si="4"/>
        <v>Australia [Bali] 1544141</v>
      </c>
    </row>
    <row r="272" spans="1:5" ht="15.6" x14ac:dyDescent="0.3">
      <c r="A272">
        <v>2024</v>
      </c>
      <c r="B272" t="s">
        <v>18</v>
      </c>
      <c r="C272" t="s">
        <v>42</v>
      </c>
      <c r="D272">
        <v>479</v>
      </c>
      <c r="E272" s="8" t="str">
        <f t="shared" si="4"/>
        <v>Brunei Darussalam [Bali] 479</v>
      </c>
    </row>
    <row r="273" spans="1:5" ht="15.6" x14ac:dyDescent="0.3">
      <c r="A273">
        <v>2024</v>
      </c>
      <c r="B273" t="s">
        <v>16</v>
      </c>
      <c r="C273" t="s">
        <v>42</v>
      </c>
      <c r="D273">
        <v>4640</v>
      </c>
      <c r="E273" s="8" t="str">
        <f t="shared" si="4"/>
        <v>Cambodia [Bali] 4640</v>
      </c>
    </row>
    <row r="274" spans="1:5" ht="15.6" x14ac:dyDescent="0.3">
      <c r="A274">
        <v>2024</v>
      </c>
      <c r="B274" t="s">
        <v>29</v>
      </c>
      <c r="C274" t="s">
        <v>42</v>
      </c>
      <c r="D274">
        <v>62105</v>
      </c>
      <c r="E274" s="8" t="str">
        <f t="shared" si="4"/>
        <v>Canada [Bali] 62105</v>
      </c>
    </row>
    <row r="275" spans="1:5" ht="15.6" x14ac:dyDescent="0.3">
      <c r="A275">
        <v>2024</v>
      </c>
      <c r="B275" t="s">
        <v>5</v>
      </c>
      <c r="C275" t="s">
        <v>42</v>
      </c>
      <c r="D275">
        <v>448446</v>
      </c>
      <c r="E275" s="8" t="str">
        <f t="shared" si="4"/>
        <v>China [Bali] 448446</v>
      </c>
    </row>
    <row r="276" spans="1:5" ht="15.6" x14ac:dyDescent="0.3">
      <c r="A276">
        <v>2024</v>
      </c>
      <c r="B276" t="s">
        <v>19</v>
      </c>
      <c r="C276" t="s">
        <v>21</v>
      </c>
      <c r="D276">
        <v>257504</v>
      </c>
      <c r="E276" s="8" t="str">
        <f t="shared" si="4"/>
        <v>Eropa [France] 257504</v>
      </c>
    </row>
    <row r="277" spans="1:5" ht="15.6" x14ac:dyDescent="0.3">
      <c r="A277">
        <v>2024</v>
      </c>
      <c r="B277" t="s">
        <v>19</v>
      </c>
      <c r="C277" t="s">
        <v>22</v>
      </c>
      <c r="D277">
        <v>204641</v>
      </c>
      <c r="E277" s="8" t="str">
        <f t="shared" si="4"/>
        <v>Eropa [Germany] 204641</v>
      </c>
    </row>
    <row r="278" spans="1:5" ht="15.6" x14ac:dyDescent="0.3">
      <c r="A278">
        <v>2024</v>
      </c>
      <c r="B278" t="s">
        <v>19</v>
      </c>
      <c r="C278" t="s">
        <v>25</v>
      </c>
      <c r="D278">
        <v>88416</v>
      </c>
      <c r="E278" s="8" t="str">
        <f t="shared" si="4"/>
        <v>Eropa [Italy] 88416</v>
      </c>
    </row>
    <row r="279" spans="1:5" ht="15.6" x14ac:dyDescent="0.3">
      <c r="A279">
        <v>2024</v>
      </c>
      <c r="B279" t="s">
        <v>19</v>
      </c>
      <c r="C279" t="s">
        <v>24</v>
      </c>
      <c r="D279">
        <v>138099</v>
      </c>
      <c r="E279" s="8" t="str">
        <f t="shared" si="4"/>
        <v>Eropa [Netherlands] 138099</v>
      </c>
    </row>
    <row r="280" spans="1:5" ht="15.6" x14ac:dyDescent="0.3">
      <c r="A280">
        <v>2024</v>
      </c>
      <c r="B280" t="s">
        <v>19</v>
      </c>
      <c r="C280" t="s">
        <v>23</v>
      </c>
      <c r="D280">
        <v>162097</v>
      </c>
      <c r="E280" s="8" t="str">
        <f t="shared" si="4"/>
        <v>Eropa [Russia] 162097</v>
      </c>
    </row>
    <row r="281" spans="1:5" ht="15.6" x14ac:dyDescent="0.3">
      <c r="A281">
        <v>2024</v>
      </c>
      <c r="B281" t="s">
        <v>19</v>
      </c>
      <c r="C281" t="s">
        <v>26</v>
      </c>
      <c r="D281">
        <v>79665</v>
      </c>
      <c r="E281" s="8" t="str">
        <f t="shared" si="4"/>
        <v>Eropa [Spain] 79665</v>
      </c>
    </row>
    <row r="282" spans="1:5" ht="15.6" x14ac:dyDescent="0.3">
      <c r="A282">
        <v>2024</v>
      </c>
      <c r="B282" t="s">
        <v>19</v>
      </c>
      <c r="C282" t="s">
        <v>20</v>
      </c>
      <c r="D282">
        <v>295326</v>
      </c>
      <c r="E282" s="8" t="str">
        <f t="shared" si="4"/>
        <v>Eropa [United Kingdom] 295326</v>
      </c>
    </row>
    <row r="283" spans="1:5" ht="15.6" x14ac:dyDescent="0.3">
      <c r="A283">
        <v>2024</v>
      </c>
      <c r="B283" t="s">
        <v>21</v>
      </c>
      <c r="C283" t="s">
        <v>42</v>
      </c>
      <c r="D283">
        <v>257504</v>
      </c>
      <c r="E283" s="8" t="str">
        <f t="shared" si="4"/>
        <v>France [Bali] 257504</v>
      </c>
    </row>
    <row r="284" spans="1:5" ht="15.6" x14ac:dyDescent="0.3">
      <c r="A284">
        <v>2024</v>
      </c>
      <c r="B284" t="s">
        <v>22</v>
      </c>
      <c r="C284" t="s">
        <v>42</v>
      </c>
      <c r="D284">
        <v>204641</v>
      </c>
      <c r="E284" s="8" t="str">
        <f t="shared" si="4"/>
        <v>Germany [Bali] 204641</v>
      </c>
    </row>
    <row r="285" spans="1:5" ht="15.6" x14ac:dyDescent="0.3">
      <c r="A285">
        <v>2024</v>
      </c>
      <c r="B285" t="s">
        <v>3</v>
      </c>
      <c r="C285" t="s">
        <v>42</v>
      </c>
      <c r="D285">
        <v>550379</v>
      </c>
      <c r="E285" s="8" t="str">
        <f t="shared" si="4"/>
        <v>India [Bali] 550379</v>
      </c>
    </row>
    <row r="286" spans="1:5" ht="15.6" x14ac:dyDescent="0.3">
      <c r="A286">
        <v>2024</v>
      </c>
      <c r="B286" t="s">
        <v>25</v>
      </c>
      <c r="C286" t="s">
        <v>42</v>
      </c>
      <c r="D286">
        <v>88416</v>
      </c>
      <c r="E286" s="8" t="str">
        <f t="shared" si="4"/>
        <v>Italy [Bali] 88416</v>
      </c>
    </row>
    <row r="287" spans="1:5" ht="15.6" x14ac:dyDescent="0.3">
      <c r="A287">
        <v>2024</v>
      </c>
      <c r="B287" t="s">
        <v>7</v>
      </c>
      <c r="C287" t="s">
        <v>42</v>
      </c>
      <c r="D287">
        <v>176856</v>
      </c>
      <c r="E287" s="8" t="str">
        <f t="shared" si="4"/>
        <v>Jepang [Bali] 176856</v>
      </c>
    </row>
    <row r="288" spans="1:5" ht="15.6" x14ac:dyDescent="0.3">
      <c r="A288">
        <v>2024</v>
      </c>
      <c r="B288" t="s">
        <v>6</v>
      </c>
      <c r="C288" t="s">
        <v>42</v>
      </c>
      <c r="D288">
        <v>294024</v>
      </c>
      <c r="E288" s="8" t="str">
        <f t="shared" si="4"/>
        <v>Korea Selatan [Bali] 294024</v>
      </c>
    </row>
    <row r="289" spans="1:5" ht="15.6" x14ac:dyDescent="0.3">
      <c r="A289">
        <v>2024</v>
      </c>
      <c r="B289" t="s">
        <v>17</v>
      </c>
      <c r="C289" t="s">
        <v>42</v>
      </c>
      <c r="D289">
        <v>793</v>
      </c>
      <c r="E289" s="8" t="str">
        <f t="shared" si="4"/>
        <v>Laos [Bali] 793</v>
      </c>
    </row>
    <row r="290" spans="1:5" ht="15.6" x14ac:dyDescent="0.3">
      <c r="A290">
        <v>2024</v>
      </c>
      <c r="B290" t="s">
        <v>10</v>
      </c>
      <c r="C290" t="s">
        <v>42</v>
      </c>
      <c r="D290">
        <v>246145</v>
      </c>
      <c r="E290" s="8" t="str">
        <f t="shared" si="4"/>
        <v>Malaysia [Bali] 246145</v>
      </c>
    </row>
    <row r="291" spans="1:5" ht="15.6" x14ac:dyDescent="0.3">
      <c r="A291">
        <v>2024</v>
      </c>
      <c r="B291" t="s">
        <v>15</v>
      </c>
      <c r="C291" t="s">
        <v>42</v>
      </c>
      <c r="D291">
        <v>9710</v>
      </c>
      <c r="E291" s="8" t="str">
        <f t="shared" si="4"/>
        <v>Myanmar [Bali] 9710</v>
      </c>
    </row>
    <row r="292" spans="1:5" ht="15.6" x14ac:dyDescent="0.3">
      <c r="A292">
        <v>2024</v>
      </c>
      <c r="B292" t="s">
        <v>24</v>
      </c>
      <c r="C292" t="s">
        <v>42</v>
      </c>
      <c r="D292">
        <v>138099</v>
      </c>
      <c r="E292" s="8" t="str">
        <f t="shared" si="4"/>
        <v>Netherlands [Bali] 138099</v>
      </c>
    </row>
    <row r="293" spans="1:5" ht="15.6" x14ac:dyDescent="0.3">
      <c r="A293">
        <v>2024</v>
      </c>
      <c r="B293" t="s">
        <v>12</v>
      </c>
      <c r="C293" t="s">
        <v>42</v>
      </c>
      <c r="D293">
        <v>103665</v>
      </c>
      <c r="E293" s="8" t="str">
        <f t="shared" si="4"/>
        <v>Philippines [Bali] 103665</v>
      </c>
    </row>
    <row r="294" spans="1:5" ht="15.6" x14ac:dyDescent="0.3">
      <c r="A294">
        <v>2024</v>
      </c>
      <c r="B294" t="s">
        <v>23</v>
      </c>
      <c r="C294" t="s">
        <v>42</v>
      </c>
      <c r="D294">
        <v>162097</v>
      </c>
      <c r="E294" s="8" t="str">
        <f t="shared" si="4"/>
        <v>Russia [Bali] 162097</v>
      </c>
    </row>
    <row r="295" spans="1:5" ht="15.6" x14ac:dyDescent="0.3">
      <c r="A295">
        <v>2024</v>
      </c>
      <c r="B295" t="s">
        <v>11</v>
      </c>
      <c r="C295" t="s">
        <v>42</v>
      </c>
      <c r="D295">
        <v>218926</v>
      </c>
      <c r="E295" s="8" t="str">
        <f t="shared" si="4"/>
        <v>Singapore [Bali] 218926</v>
      </c>
    </row>
    <row r="296" spans="1:5" ht="15.6" x14ac:dyDescent="0.3">
      <c r="A296">
        <v>2024</v>
      </c>
      <c r="B296" t="s">
        <v>26</v>
      </c>
      <c r="C296" t="s">
        <v>42</v>
      </c>
      <c r="D296">
        <v>79665</v>
      </c>
      <c r="E296" s="8" t="str">
        <f t="shared" si="4"/>
        <v>Spain [Bali] 79665</v>
      </c>
    </row>
    <row r="297" spans="1:5" ht="15.6" x14ac:dyDescent="0.3">
      <c r="A297">
        <v>2024</v>
      </c>
      <c r="B297" t="s">
        <v>8</v>
      </c>
      <c r="C297" t="s">
        <v>42</v>
      </c>
      <c r="D297">
        <v>103509</v>
      </c>
      <c r="E297" s="8" t="str">
        <f t="shared" si="4"/>
        <v>Taiwan [Bali] 103509</v>
      </c>
    </row>
    <row r="298" spans="1:5" ht="15.6" x14ac:dyDescent="0.3">
      <c r="A298">
        <v>2024</v>
      </c>
      <c r="B298" t="s">
        <v>13</v>
      </c>
      <c r="C298" t="s">
        <v>42</v>
      </c>
      <c r="D298">
        <v>41483</v>
      </c>
      <c r="E298" s="8" t="str">
        <f t="shared" si="4"/>
        <v>Thailand [Bali] 41483</v>
      </c>
    </row>
    <row r="299" spans="1:5" ht="15.6" x14ac:dyDescent="0.3">
      <c r="A299">
        <v>2024</v>
      </c>
      <c r="B299" t="s">
        <v>20</v>
      </c>
      <c r="C299" t="s">
        <v>42</v>
      </c>
      <c r="D299">
        <v>295326</v>
      </c>
      <c r="E299" s="8" t="str">
        <f t="shared" si="4"/>
        <v>United Kingdom [Bali] 295326</v>
      </c>
    </row>
    <row r="300" spans="1:5" ht="15.6" x14ac:dyDescent="0.3">
      <c r="A300">
        <v>2024</v>
      </c>
      <c r="B300" t="s">
        <v>28</v>
      </c>
      <c r="C300" t="s">
        <v>42</v>
      </c>
      <c r="D300">
        <v>261863</v>
      </c>
      <c r="E300" s="8" t="str">
        <f t="shared" si="4"/>
        <v>United States [Bali] 261863</v>
      </c>
    </row>
    <row r="301" spans="1:5" ht="15.6" x14ac:dyDescent="0.3">
      <c r="A301">
        <v>2024</v>
      </c>
      <c r="B301" t="s">
        <v>14</v>
      </c>
      <c r="C301" t="s">
        <v>42</v>
      </c>
      <c r="D301">
        <v>55215</v>
      </c>
      <c r="E301" s="8" t="str">
        <f t="shared" si="4"/>
        <v>Vietnam [Bali] 55215</v>
      </c>
    </row>
    <row r="302" spans="1:5" ht="15.6" x14ac:dyDescent="0.3">
      <c r="A302">
        <v>2025</v>
      </c>
      <c r="B302" t="s">
        <v>9</v>
      </c>
      <c r="C302" t="s">
        <v>18</v>
      </c>
      <c r="D302">
        <v>467</v>
      </c>
      <c r="E302" s="8" t="str">
        <f t="shared" si="4"/>
        <v>ASEAN [Brunei Darussalam] 467</v>
      </c>
    </row>
    <row r="303" spans="1:5" ht="15.6" x14ac:dyDescent="0.3">
      <c r="A303">
        <v>2025</v>
      </c>
      <c r="B303" t="s">
        <v>9</v>
      </c>
      <c r="C303" t="s">
        <v>16</v>
      </c>
      <c r="D303">
        <v>4210</v>
      </c>
      <c r="E303" s="8" t="str">
        <f t="shared" si="4"/>
        <v>ASEAN [Cambodia] 4210</v>
      </c>
    </row>
    <row r="304" spans="1:5" ht="15.6" x14ac:dyDescent="0.3">
      <c r="A304">
        <v>2025</v>
      </c>
      <c r="B304" t="s">
        <v>9</v>
      </c>
      <c r="C304" t="s">
        <v>17</v>
      </c>
      <c r="D304">
        <v>647</v>
      </c>
      <c r="E304" s="8" t="str">
        <f t="shared" si="4"/>
        <v>ASEAN [Laos] 647</v>
      </c>
    </row>
    <row r="305" spans="1:5" ht="15.6" x14ac:dyDescent="0.3">
      <c r="A305">
        <v>2025</v>
      </c>
      <c r="B305" t="s">
        <v>9</v>
      </c>
      <c r="C305" t="s">
        <v>10</v>
      </c>
      <c r="D305">
        <v>251156</v>
      </c>
      <c r="E305" s="8" t="str">
        <f t="shared" si="4"/>
        <v>ASEAN [Malaysia] 251156</v>
      </c>
    </row>
    <row r="306" spans="1:5" ht="15.6" x14ac:dyDescent="0.3">
      <c r="A306">
        <v>2025</v>
      </c>
      <c r="B306" t="s">
        <v>9</v>
      </c>
      <c r="C306" t="s">
        <v>15</v>
      </c>
      <c r="D306">
        <v>11188</v>
      </c>
      <c r="E306" s="8" t="str">
        <f t="shared" si="4"/>
        <v>ASEAN [Myanmar] 11188</v>
      </c>
    </row>
    <row r="307" spans="1:5" ht="15.6" x14ac:dyDescent="0.3">
      <c r="A307">
        <v>2025</v>
      </c>
      <c r="B307" t="s">
        <v>9</v>
      </c>
      <c r="C307" t="s">
        <v>12</v>
      </c>
      <c r="D307">
        <v>105771</v>
      </c>
      <c r="E307" s="8" t="str">
        <f t="shared" si="4"/>
        <v>ASEAN [Philippines] 105771</v>
      </c>
    </row>
    <row r="308" spans="1:5" ht="15.6" x14ac:dyDescent="0.3">
      <c r="A308">
        <v>2025</v>
      </c>
      <c r="B308" t="s">
        <v>9</v>
      </c>
      <c r="C308" t="s">
        <v>11</v>
      </c>
      <c r="D308">
        <v>211331</v>
      </c>
      <c r="E308" s="8" t="str">
        <f t="shared" si="4"/>
        <v>ASEAN [Singapore] 211331</v>
      </c>
    </row>
    <row r="309" spans="1:5" ht="15.6" x14ac:dyDescent="0.3">
      <c r="A309">
        <v>2025</v>
      </c>
      <c r="B309" t="s">
        <v>9</v>
      </c>
      <c r="C309" t="s">
        <v>13</v>
      </c>
      <c r="D309">
        <v>43538</v>
      </c>
      <c r="E309" s="8" t="str">
        <f t="shared" si="4"/>
        <v>ASEAN [Thailand] 43538</v>
      </c>
    </row>
    <row r="310" spans="1:5" ht="15.6" x14ac:dyDescent="0.3">
      <c r="A310">
        <v>2025</v>
      </c>
      <c r="B310" t="s">
        <v>9</v>
      </c>
      <c r="C310" t="s">
        <v>14</v>
      </c>
      <c r="D310">
        <v>43349</v>
      </c>
      <c r="E310" s="8" t="str">
        <f t="shared" si="4"/>
        <v>ASEAN [Vietnam] 43349</v>
      </c>
    </row>
    <row r="311" spans="1:5" ht="15.6" x14ac:dyDescent="0.3">
      <c r="A311">
        <v>2025</v>
      </c>
      <c r="B311" t="s">
        <v>30</v>
      </c>
      <c r="C311" t="s">
        <v>31</v>
      </c>
      <c r="D311">
        <v>32619</v>
      </c>
      <c r="E311" s="8" t="str">
        <f t="shared" si="4"/>
        <v>Afrika [Afrika Selatan] 32619</v>
      </c>
    </row>
    <row r="312" spans="1:5" ht="15.6" x14ac:dyDescent="0.3">
      <c r="A312">
        <v>2025</v>
      </c>
      <c r="B312" t="s">
        <v>31</v>
      </c>
      <c r="C312" t="s">
        <v>42</v>
      </c>
      <c r="D312">
        <v>32619</v>
      </c>
      <c r="E312" s="8" t="str">
        <f t="shared" si="4"/>
        <v>Afrika Selatan [Bali] 32619</v>
      </c>
    </row>
    <row r="313" spans="1:5" ht="15.6" x14ac:dyDescent="0.3">
      <c r="A313">
        <v>2025</v>
      </c>
      <c r="B313" t="s">
        <v>27</v>
      </c>
      <c r="C313" t="s">
        <v>29</v>
      </c>
      <c r="D313">
        <v>69571</v>
      </c>
      <c r="E313" s="8" t="str">
        <f t="shared" si="4"/>
        <v>Amerika [Canada] 69571</v>
      </c>
    </row>
    <row r="314" spans="1:5" ht="15.6" x14ac:dyDescent="0.3">
      <c r="A314">
        <v>2025</v>
      </c>
      <c r="B314" t="s">
        <v>27</v>
      </c>
      <c r="C314" t="s">
        <v>28</v>
      </c>
      <c r="D314">
        <v>274611</v>
      </c>
      <c r="E314" s="8" t="str">
        <f t="shared" si="4"/>
        <v>Amerika [United States] 274611</v>
      </c>
    </row>
    <row r="315" spans="1:5" ht="15.6" x14ac:dyDescent="0.3">
      <c r="A315">
        <v>2025</v>
      </c>
      <c r="B315" t="s">
        <v>4</v>
      </c>
      <c r="C315" t="s">
        <v>2</v>
      </c>
      <c r="D315">
        <v>1628459</v>
      </c>
      <c r="E315" s="8" t="str">
        <f t="shared" si="4"/>
        <v>Asia Pasifik [Australia] 1628459</v>
      </c>
    </row>
    <row r="316" spans="1:5" ht="15.6" x14ac:dyDescent="0.3">
      <c r="A316">
        <v>2025</v>
      </c>
      <c r="B316" t="s">
        <v>4</v>
      </c>
      <c r="C316" t="s">
        <v>5</v>
      </c>
      <c r="D316">
        <v>537375</v>
      </c>
      <c r="E316" s="8" t="str">
        <f t="shared" si="4"/>
        <v>Asia Pasifik [China] 537375</v>
      </c>
    </row>
    <row r="317" spans="1:5" ht="15.6" x14ac:dyDescent="0.3">
      <c r="A317">
        <v>2025</v>
      </c>
      <c r="B317" t="s">
        <v>4</v>
      </c>
      <c r="C317" t="s">
        <v>3</v>
      </c>
      <c r="D317">
        <v>569261</v>
      </c>
      <c r="E317" s="8" t="str">
        <f t="shared" si="4"/>
        <v>Asia Pasifik [India] 569261</v>
      </c>
    </row>
    <row r="318" spans="1:5" ht="15.6" x14ac:dyDescent="0.3">
      <c r="A318">
        <v>2025</v>
      </c>
      <c r="B318" t="s">
        <v>4</v>
      </c>
      <c r="C318" t="s">
        <v>7</v>
      </c>
      <c r="D318">
        <v>208615</v>
      </c>
      <c r="E318" s="8" t="str">
        <f t="shared" si="4"/>
        <v>Asia Pasifik [Jepang] 208615</v>
      </c>
    </row>
    <row r="319" spans="1:5" ht="15.6" x14ac:dyDescent="0.3">
      <c r="A319">
        <v>2025</v>
      </c>
      <c r="B319" t="s">
        <v>4</v>
      </c>
      <c r="C319" t="s">
        <v>6</v>
      </c>
      <c r="D319">
        <v>346679</v>
      </c>
      <c r="E319" s="8" t="str">
        <f t="shared" si="4"/>
        <v>Asia Pasifik [Korea Selatan] 346679</v>
      </c>
    </row>
    <row r="320" spans="1:5" ht="15.6" x14ac:dyDescent="0.3">
      <c r="A320">
        <v>2025</v>
      </c>
      <c r="B320" t="s">
        <v>4</v>
      </c>
      <c r="C320" t="s">
        <v>8</v>
      </c>
      <c r="D320">
        <v>118861</v>
      </c>
      <c r="E320" s="8" t="str">
        <f t="shared" si="4"/>
        <v>Asia Pasifik [Taiwan] 118861</v>
      </c>
    </row>
    <row r="321" spans="1:5" ht="15.6" x14ac:dyDescent="0.3">
      <c r="A321">
        <v>2025</v>
      </c>
      <c r="B321" t="s">
        <v>2</v>
      </c>
      <c r="C321" t="s">
        <v>42</v>
      </c>
      <c r="D321">
        <v>1628459</v>
      </c>
      <c r="E321" s="8" t="str">
        <f t="shared" si="4"/>
        <v>Australia [Bali] 1628459</v>
      </c>
    </row>
    <row r="322" spans="1:5" ht="15.6" x14ac:dyDescent="0.3">
      <c r="A322">
        <v>2025</v>
      </c>
      <c r="B322" t="s">
        <v>18</v>
      </c>
      <c r="C322" t="s">
        <v>42</v>
      </c>
      <c r="D322">
        <v>467</v>
      </c>
      <c r="E322" s="8" t="str">
        <f t="shared" si="4"/>
        <v>Brunei Darussalam [Bali] 467</v>
      </c>
    </row>
    <row r="323" spans="1:5" ht="15.6" x14ac:dyDescent="0.3">
      <c r="A323">
        <v>2025</v>
      </c>
      <c r="B323" t="s">
        <v>16</v>
      </c>
      <c r="C323" t="s">
        <v>42</v>
      </c>
      <c r="D323">
        <v>4210</v>
      </c>
      <c r="E323" s="8" t="str">
        <f t="shared" ref="E323:E351" si="5">B323&amp;" "&amp;"["&amp;C323&amp;"]"&amp;" "&amp;D323</f>
        <v>Cambodia [Bali] 4210</v>
      </c>
    </row>
    <row r="324" spans="1:5" ht="15.6" x14ac:dyDescent="0.3">
      <c r="A324">
        <v>2025</v>
      </c>
      <c r="B324" t="s">
        <v>29</v>
      </c>
      <c r="C324" t="s">
        <v>42</v>
      </c>
      <c r="D324">
        <v>69571</v>
      </c>
      <c r="E324" s="8" t="str">
        <f t="shared" si="5"/>
        <v>Canada [Bali] 69571</v>
      </c>
    </row>
    <row r="325" spans="1:5" ht="15.6" x14ac:dyDescent="0.3">
      <c r="A325">
        <v>2025</v>
      </c>
      <c r="B325" t="s">
        <v>5</v>
      </c>
      <c r="C325" t="s">
        <v>42</v>
      </c>
      <c r="D325">
        <v>537375</v>
      </c>
      <c r="E325" s="8" t="str">
        <f t="shared" si="5"/>
        <v>China [Bali] 537375</v>
      </c>
    </row>
    <row r="326" spans="1:5" ht="15.6" x14ac:dyDescent="0.3">
      <c r="A326">
        <v>2025</v>
      </c>
      <c r="B326" t="s">
        <v>19</v>
      </c>
      <c r="C326" t="s">
        <v>21</v>
      </c>
      <c r="D326">
        <v>279117</v>
      </c>
      <c r="E326" s="8" t="str">
        <f t="shared" si="5"/>
        <v>Eropa [France] 279117</v>
      </c>
    </row>
    <row r="327" spans="1:5" ht="15.6" x14ac:dyDescent="0.3">
      <c r="A327">
        <v>2025</v>
      </c>
      <c r="B327" t="s">
        <v>19</v>
      </c>
      <c r="C327" t="s">
        <v>22</v>
      </c>
      <c r="D327">
        <v>205927</v>
      </c>
      <c r="E327" s="8" t="str">
        <f t="shared" si="5"/>
        <v>Eropa [Germany] 205927</v>
      </c>
    </row>
    <row r="328" spans="1:5" ht="15.6" x14ac:dyDescent="0.3">
      <c r="A328">
        <v>2025</v>
      </c>
      <c r="B328" t="s">
        <v>19</v>
      </c>
      <c r="C328" t="s">
        <v>25</v>
      </c>
      <c r="D328">
        <v>98233</v>
      </c>
      <c r="E328" s="8" t="str">
        <f t="shared" si="5"/>
        <v>Eropa [Italy] 98233</v>
      </c>
    </row>
    <row r="329" spans="1:5" ht="15.6" x14ac:dyDescent="0.3">
      <c r="A329">
        <v>2025</v>
      </c>
      <c r="B329" t="s">
        <v>19</v>
      </c>
      <c r="C329" t="s">
        <v>24</v>
      </c>
      <c r="D329">
        <v>134409</v>
      </c>
      <c r="E329" s="8" t="str">
        <f t="shared" si="5"/>
        <v>Eropa [Netherlands] 134409</v>
      </c>
    </row>
    <row r="330" spans="1:5" ht="15.6" x14ac:dyDescent="0.3">
      <c r="A330">
        <v>2025</v>
      </c>
      <c r="B330" t="s">
        <v>19</v>
      </c>
      <c r="C330" t="s">
        <v>23</v>
      </c>
      <c r="D330">
        <v>204130</v>
      </c>
      <c r="E330" s="8" t="str">
        <f t="shared" si="5"/>
        <v>Eropa [Russia] 204130</v>
      </c>
    </row>
    <row r="331" spans="1:5" ht="15.6" x14ac:dyDescent="0.3">
      <c r="A331">
        <v>2025</v>
      </c>
      <c r="B331" t="s">
        <v>19</v>
      </c>
      <c r="C331" t="s">
        <v>26</v>
      </c>
      <c r="D331">
        <v>90247</v>
      </c>
      <c r="E331" s="8" t="str">
        <f t="shared" si="5"/>
        <v>Eropa [Spain] 90247</v>
      </c>
    </row>
    <row r="332" spans="1:5" ht="15.6" x14ac:dyDescent="0.3">
      <c r="A332">
        <v>2025</v>
      </c>
      <c r="B332" t="s">
        <v>19</v>
      </c>
      <c r="C332" t="s">
        <v>20</v>
      </c>
      <c r="D332">
        <v>317523</v>
      </c>
      <c r="E332" s="8" t="str">
        <f t="shared" si="5"/>
        <v>Eropa [United Kingdom] 317523</v>
      </c>
    </row>
    <row r="333" spans="1:5" ht="15.6" x14ac:dyDescent="0.3">
      <c r="A333">
        <v>2025</v>
      </c>
      <c r="B333" t="s">
        <v>21</v>
      </c>
      <c r="C333" t="s">
        <v>42</v>
      </c>
      <c r="D333">
        <v>279117</v>
      </c>
      <c r="E333" s="8" t="str">
        <f t="shared" si="5"/>
        <v>France [Bali] 279117</v>
      </c>
    </row>
    <row r="334" spans="1:5" ht="15.6" x14ac:dyDescent="0.3">
      <c r="A334">
        <v>2025</v>
      </c>
      <c r="B334" t="s">
        <v>22</v>
      </c>
      <c r="C334" t="s">
        <v>42</v>
      </c>
      <c r="D334">
        <v>205927</v>
      </c>
      <c r="E334" s="8" t="str">
        <f t="shared" si="5"/>
        <v>Germany [Bali] 205927</v>
      </c>
    </row>
    <row r="335" spans="1:5" ht="15.6" x14ac:dyDescent="0.3">
      <c r="A335">
        <v>2025</v>
      </c>
      <c r="B335" t="s">
        <v>3</v>
      </c>
      <c r="C335" t="s">
        <v>42</v>
      </c>
      <c r="D335">
        <v>569261</v>
      </c>
      <c r="E335" s="8" t="str">
        <f t="shared" si="5"/>
        <v>India [Bali] 569261</v>
      </c>
    </row>
    <row r="336" spans="1:5" ht="15.6" x14ac:dyDescent="0.3">
      <c r="A336">
        <v>2025</v>
      </c>
      <c r="B336" t="s">
        <v>25</v>
      </c>
      <c r="C336" t="s">
        <v>42</v>
      </c>
      <c r="D336">
        <v>98233</v>
      </c>
      <c r="E336" s="8" t="str">
        <f t="shared" si="5"/>
        <v>Italy [Bali] 98233</v>
      </c>
    </row>
    <row r="337" spans="1:5" ht="15.6" x14ac:dyDescent="0.3">
      <c r="A337">
        <v>2025</v>
      </c>
      <c r="B337" t="s">
        <v>7</v>
      </c>
      <c r="C337" t="s">
        <v>42</v>
      </c>
      <c r="D337">
        <v>208615</v>
      </c>
      <c r="E337" s="8" t="str">
        <f t="shared" si="5"/>
        <v>Jepang [Bali] 208615</v>
      </c>
    </row>
    <row r="338" spans="1:5" ht="15.6" x14ac:dyDescent="0.3">
      <c r="A338">
        <v>2025</v>
      </c>
      <c r="B338" t="s">
        <v>6</v>
      </c>
      <c r="C338" t="s">
        <v>42</v>
      </c>
      <c r="D338">
        <v>346679</v>
      </c>
      <c r="E338" s="8" t="str">
        <f t="shared" si="5"/>
        <v>Korea Selatan [Bali] 346679</v>
      </c>
    </row>
    <row r="339" spans="1:5" ht="15.6" x14ac:dyDescent="0.3">
      <c r="A339">
        <v>2025</v>
      </c>
      <c r="B339" t="s">
        <v>17</v>
      </c>
      <c r="C339" t="s">
        <v>42</v>
      </c>
      <c r="D339">
        <v>647</v>
      </c>
      <c r="E339" s="8" t="str">
        <f t="shared" si="5"/>
        <v>Laos [Bali] 647</v>
      </c>
    </row>
    <row r="340" spans="1:5" ht="15.6" x14ac:dyDescent="0.3">
      <c r="A340">
        <v>2025</v>
      </c>
      <c r="B340" t="s">
        <v>10</v>
      </c>
      <c r="C340" t="s">
        <v>42</v>
      </c>
      <c r="D340">
        <v>251156</v>
      </c>
      <c r="E340" s="8" t="str">
        <f t="shared" si="5"/>
        <v>Malaysia [Bali] 251156</v>
      </c>
    </row>
    <row r="341" spans="1:5" ht="15.6" x14ac:dyDescent="0.3">
      <c r="A341">
        <v>2025</v>
      </c>
      <c r="B341" t="s">
        <v>15</v>
      </c>
      <c r="C341" t="s">
        <v>42</v>
      </c>
      <c r="D341">
        <v>11188</v>
      </c>
      <c r="E341" s="8" t="str">
        <f t="shared" si="5"/>
        <v>Myanmar [Bali] 11188</v>
      </c>
    </row>
    <row r="342" spans="1:5" ht="15.6" x14ac:dyDescent="0.3">
      <c r="A342">
        <v>2025</v>
      </c>
      <c r="B342" t="s">
        <v>24</v>
      </c>
      <c r="C342" t="s">
        <v>42</v>
      </c>
      <c r="D342">
        <v>134409</v>
      </c>
      <c r="E342" s="8" t="str">
        <f t="shared" si="5"/>
        <v>Netherlands [Bali] 134409</v>
      </c>
    </row>
    <row r="343" spans="1:5" ht="15.6" x14ac:dyDescent="0.3">
      <c r="A343">
        <v>2025</v>
      </c>
      <c r="B343" t="s">
        <v>12</v>
      </c>
      <c r="C343" t="s">
        <v>42</v>
      </c>
      <c r="D343">
        <v>105771</v>
      </c>
      <c r="E343" s="8" t="str">
        <f t="shared" si="5"/>
        <v>Philippines [Bali] 105771</v>
      </c>
    </row>
    <row r="344" spans="1:5" ht="15.6" x14ac:dyDescent="0.3">
      <c r="A344">
        <v>2025</v>
      </c>
      <c r="B344" t="s">
        <v>23</v>
      </c>
      <c r="C344" t="s">
        <v>42</v>
      </c>
      <c r="D344">
        <v>204130</v>
      </c>
      <c r="E344" s="8" t="str">
        <f t="shared" si="5"/>
        <v>Russia [Bali] 204130</v>
      </c>
    </row>
    <row r="345" spans="1:5" ht="15.6" x14ac:dyDescent="0.3">
      <c r="A345">
        <v>2025</v>
      </c>
      <c r="B345" t="s">
        <v>11</v>
      </c>
      <c r="C345" t="s">
        <v>42</v>
      </c>
      <c r="D345">
        <v>211331</v>
      </c>
      <c r="E345" s="8" t="str">
        <f t="shared" si="5"/>
        <v>Singapore [Bali] 211331</v>
      </c>
    </row>
    <row r="346" spans="1:5" ht="15.6" x14ac:dyDescent="0.3">
      <c r="A346">
        <v>2025</v>
      </c>
      <c r="B346" t="s">
        <v>26</v>
      </c>
      <c r="C346" t="s">
        <v>42</v>
      </c>
      <c r="D346">
        <v>90247</v>
      </c>
      <c r="E346" s="8" t="str">
        <f t="shared" si="5"/>
        <v>Spain [Bali] 90247</v>
      </c>
    </row>
    <row r="347" spans="1:5" ht="15.6" x14ac:dyDescent="0.3">
      <c r="A347">
        <v>2025</v>
      </c>
      <c r="B347" t="s">
        <v>8</v>
      </c>
      <c r="C347" t="s">
        <v>42</v>
      </c>
      <c r="D347">
        <v>118861</v>
      </c>
      <c r="E347" s="8" t="str">
        <f t="shared" si="5"/>
        <v>Taiwan [Bali] 118861</v>
      </c>
    </row>
    <row r="348" spans="1:5" ht="15.6" x14ac:dyDescent="0.3">
      <c r="A348">
        <v>2025</v>
      </c>
      <c r="B348" t="s">
        <v>13</v>
      </c>
      <c r="C348" t="s">
        <v>42</v>
      </c>
      <c r="D348">
        <v>43538</v>
      </c>
      <c r="E348" s="8" t="str">
        <f t="shared" si="5"/>
        <v>Thailand [Bali] 43538</v>
      </c>
    </row>
    <row r="349" spans="1:5" ht="15.6" x14ac:dyDescent="0.3">
      <c r="A349">
        <v>2025</v>
      </c>
      <c r="B349" t="s">
        <v>20</v>
      </c>
      <c r="C349" t="s">
        <v>42</v>
      </c>
      <c r="D349">
        <v>317523</v>
      </c>
      <c r="E349" s="8" t="str">
        <f t="shared" si="5"/>
        <v>United Kingdom [Bali] 317523</v>
      </c>
    </row>
    <row r="350" spans="1:5" ht="15.6" x14ac:dyDescent="0.3">
      <c r="A350">
        <v>2025</v>
      </c>
      <c r="B350" t="s">
        <v>28</v>
      </c>
      <c r="C350" t="s">
        <v>42</v>
      </c>
      <c r="D350">
        <v>274611</v>
      </c>
      <c r="E350" s="8" t="str">
        <f t="shared" si="5"/>
        <v>United States [Bali] 274611</v>
      </c>
    </row>
    <row r="351" spans="1:5" ht="15.6" x14ac:dyDescent="0.3">
      <c r="A351">
        <v>2025</v>
      </c>
      <c r="B351" t="s">
        <v>14</v>
      </c>
      <c r="C351" t="s">
        <v>42</v>
      </c>
      <c r="D351">
        <v>43349</v>
      </c>
      <c r="E351" s="8" t="str">
        <f t="shared" si="5"/>
        <v>Vietnam [Bali] 43349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3EDB-A200-4933-A028-A3705ACC4133}">
  <dimension ref="A1:E681"/>
  <sheetViews>
    <sheetView topLeftCell="A40" workbookViewId="0">
      <selection activeCell="K53" sqref="K53"/>
    </sheetView>
  </sheetViews>
  <sheetFormatPr defaultRowHeight="14.4" x14ac:dyDescent="0.3"/>
  <cols>
    <col min="3" max="3" width="16.5546875" customWidth="1"/>
    <col min="4" max="4" width="23.77734375" customWidth="1"/>
    <col min="5" max="5" width="13.77734375" customWidth="1"/>
  </cols>
  <sheetData>
    <row r="1" spans="1:5" x14ac:dyDescent="0.3">
      <c r="A1" s="9" t="s">
        <v>44</v>
      </c>
      <c r="B1" s="9" t="s">
        <v>38</v>
      </c>
      <c r="C1" s="9" t="s">
        <v>45</v>
      </c>
      <c r="D1" s="9" t="s">
        <v>46</v>
      </c>
      <c r="E1" s="9" t="s">
        <v>47</v>
      </c>
    </row>
    <row r="2" spans="1:5" x14ac:dyDescent="0.3">
      <c r="A2" s="10" t="s">
        <v>48</v>
      </c>
      <c r="B2" s="10">
        <v>2021</v>
      </c>
      <c r="C2" s="10" t="s">
        <v>49</v>
      </c>
      <c r="D2" s="11" t="s">
        <v>50</v>
      </c>
      <c r="E2" s="12">
        <v>3666.12</v>
      </c>
    </row>
    <row r="3" spans="1:5" x14ac:dyDescent="0.3">
      <c r="A3" s="10" t="s">
        <v>48</v>
      </c>
      <c r="B3" s="10">
        <v>2022</v>
      </c>
      <c r="C3" s="10" t="s">
        <v>49</v>
      </c>
      <c r="D3" s="11" t="s">
        <v>50</v>
      </c>
      <c r="E3" s="12">
        <v>3787.13</v>
      </c>
    </row>
    <row r="4" spans="1:5" x14ac:dyDescent="0.3">
      <c r="A4" s="10" t="s">
        <v>48</v>
      </c>
      <c r="B4" s="10">
        <v>2023</v>
      </c>
      <c r="C4" s="10" t="s">
        <v>49</v>
      </c>
      <c r="D4" s="11" t="s">
        <v>50</v>
      </c>
      <c r="E4" s="12">
        <v>3949.63</v>
      </c>
    </row>
    <row r="5" spans="1:5" x14ac:dyDescent="0.3">
      <c r="A5" s="10" t="s">
        <v>48</v>
      </c>
      <c r="B5" s="10">
        <v>2024</v>
      </c>
      <c r="C5" s="10" t="s">
        <v>49</v>
      </c>
      <c r="D5" s="11" t="s">
        <v>50</v>
      </c>
      <c r="E5" s="12">
        <v>3778.61</v>
      </c>
    </row>
    <row r="6" spans="1:5" x14ac:dyDescent="0.3">
      <c r="A6" s="10" t="s">
        <v>48</v>
      </c>
      <c r="B6" s="10">
        <v>2025</v>
      </c>
      <c r="C6" s="10" t="s">
        <v>49</v>
      </c>
      <c r="D6" s="11" t="s">
        <v>50</v>
      </c>
      <c r="E6" s="12">
        <v>3837.46</v>
      </c>
    </row>
    <row r="7" spans="1:5" x14ac:dyDescent="0.3">
      <c r="A7" s="10" t="s">
        <v>48</v>
      </c>
      <c r="B7" s="10">
        <v>2021</v>
      </c>
      <c r="C7" s="10" t="s">
        <v>49</v>
      </c>
      <c r="D7" s="11" t="s">
        <v>51</v>
      </c>
      <c r="E7" s="12">
        <v>0</v>
      </c>
    </row>
    <row r="8" spans="1:5" x14ac:dyDescent="0.3">
      <c r="A8" s="10" t="s">
        <v>48</v>
      </c>
      <c r="B8" s="10">
        <v>2022</v>
      </c>
      <c r="C8" s="10" t="s">
        <v>49</v>
      </c>
      <c r="D8" s="11" t="s">
        <v>51</v>
      </c>
      <c r="E8" s="12">
        <v>0</v>
      </c>
    </row>
    <row r="9" spans="1:5" x14ac:dyDescent="0.3">
      <c r="A9" s="10" t="s">
        <v>48</v>
      </c>
      <c r="B9" s="10">
        <v>2023</v>
      </c>
      <c r="C9" s="10" t="s">
        <v>49</v>
      </c>
      <c r="D9" s="11" t="s">
        <v>51</v>
      </c>
      <c r="E9" s="12">
        <v>0</v>
      </c>
    </row>
    <row r="10" spans="1:5" x14ac:dyDescent="0.3">
      <c r="A10" s="10" t="s">
        <v>48</v>
      </c>
      <c r="B10" s="10">
        <v>2024</v>
      </c>
      <c r="C10" s="10" t="s">
        <v>49</v>
      </c>
      <c r="D10" s="11" t="s">
        <v>51</v>
      </c>
      <c r="E10" s="12">
        <v>0</v>
      </c>
    </row>
    <row r="11" spans="1:5" x14ac:dyDescent="0.3">
      <c r="A11" s="10" t="s">
        <v>48</v>
      </c>
      <c r="B11" s="10">
        <v>2025</v>
      </c>
      <c r="C11" s="10" t="s">
        <v>49</v>
      </c>
      <c r="D11" s="11" t="s">
        <v>51</v>
      </c>
      <c r="E11" s="12">
        <v>0</v>
      </c>
    </row>
    <row r="12" spans="1:5" x14ac:dyDescent="0.3">
      <c r="A12" s="10" t="s">
        <v>48</v>
      </c>
      <c r="B12" s="10">
        <v>2021</v>
      </c>
      <c r="C12" s="10" t="s">
        <v>52</v>
      </c>
      <c r="D12" s="11" t="s">
        <v>53</v>
      </c>
      <c r="E12" s="12">
        <v>3310.75</v>
      </c>
    </row>
    <row r="13" spans="1:5" x14ac:dyDescent="0.3">
      <c r="A13" s="10" t="s">
        <v>48</v>
      </c>
      <c r="B13" s="10">
        <v>2022</v>
      </c>
      <c r="C13" s="10" t="s">
        <v>52</v>
      </c>
      <c r="D13" s="11" t="s">
        <v>53</v>
      </c>
      <c r="E13" s="12">
        <v>3653.69</v>
      </c>
    </row>
    <row r="14" spans="1:5" x14ac:dyDescent="0.3">
      <c r="A14" s="10" t="s">
        <v>48</v>
      </c>
      <c r="B14" s="10">
        <v>2023</v>
      </c>
      <c r="C14" s="10" t="s">
        <v>52</v>
      </c>
      <c r="D14" s="11" t="s">
        <v>53</v>
      </c>
      <c r="E14" s="12">
        <v>3875.73</v>
      </c>
    </row>
    <row r="15" spans="1:5" x14ac:dyDescent="0.3">
      <c r="A15" s="10" t="s">
        <v>48</v>
      </c>
      <c r="B15" s="10">
        <v>2024</v>
      </c>
      <c r="C15" s="10" t="s">
        <v>52</v>
      </c>
      <c r="D15" s="11" t="s">
        <v>53</v>
      </c>
      <c r="E15" s="12">
        <v>4206.28</v>
      </c>
    </row>
    <row r="16" spans="1:5" x14ac:dyDescent="0.3">
      <c r="A16" s="10" t="s">
        <v>48</v>
      </c>
      <c r="B16" s="10">
        <v>2025</v>
      </c>
      <c r="C16" s="10" t="s">
        <v>52</v>
      </c>
      <c r="D16" s="11" t="s">
        <v>53</v>
      </c>
      <c r="E16" s="12">
        <v>4487.1400000000003</v>
      </c>
    </row>
    <row r="17" spans="1:5" x14ac:dyDescent="0.3">
      <c r="A17" s="10" t="s">
        <v>48</v>
      </c>
      <c r="B17" s="10">
        <v>2021</v>
      </c>
      <c r="C17" s="10" t="s">
        <v>52</v>
      </c>
      <c r="D17" s="11" t="s">
        <v>54</v>
      </c>
      <c r="E17" s="12">
        <v>246.82</v>
      </c>
    </row>
    <row r="18" spans="1:5" x14ac:dyDescent="0.3">
      <c r="A18" s="10" t="s">
        <v>48</v>
      </c>
      <c r="B18" s="10">
        <v>2022</v>
      </c>
      <c r="C18" s="10" t="s">
        <v>52</v>
      </c>
      <c r="D18" s="11" t="s">
        <v>54</v>
      </c>
      <c r="E18" s="12">
        <v>294.95999999999998</v>
      </c>
    </row>
    <row r="19" spans="1:5" x14ac:dyDescent="0.3">
      <c r="A19" s="10" t="s">
        <v>48</v>
      </c>
      <c r="B19" s="10">
        <v>2023</v>
      </c>
      <c r="C19" s="10" t="s">
        <v>52</v>
      </c>
      <c r="D19" s="11" t="s">
        <v>54</v>
      </c>
      <c r="E19" s="12">
        <v>347.66</v>
      </c>
    </row>
    <row r="20" spans="1:5" x14ac:dyDescent="0.3">
      <c r="A20" s="10" t="s">
        <v>48</v>
      </c>
      <c r="B20" s="10">
        <v>2024</v>
      </c>
      <c r="C20" s="10" t="s">
        <v>52</v>
      </c>
      <c r="D20" s="11" t="s">
        <v>54</v>
      </c>
      <c r="E20" s="12">
        <v>409.06</v>
      </c>
    </row>
    <row r="21" spans="1:5" x14ac:dyDescent="0.3">
      <c r="A21" s="10" t="s">
        <v>48</v>
      </c>
      <c r="B21" s="10">
        <v>2025</v>
      </c>
      <c r="C21" s="10" t="s">
        <v>52</v>
      </c>
      <c r="D21" s="11" t="s">
        <v>54</v>
      </c>
      <c r="E21" s="12">
        <v>430.41</v>
      </c>
    </row>
    <row r="22" spans="1:5" x14ac:dyDescent="0.3">
      <c r="A22" s="10" t="s">
        <v>48</v>
      </c>
      <c r="B22" s="10">
        <v>2021</v>
      </c>
      <c r="C22" s="10" t="s">
        <v>52</v>
      </c>
      <c r="D22" s="11" t="s">
        <v>55</v>
      </c>
      <c r="E22" s="12">
        <v>134</v>
      </c>
    </row>
    <row r="23" spans="1:5" x14ac:dyDescent="0.3">
      <c r="A23" s="10" t="s">
        <v>48</v>
      </c>
      <c r="B23" s="10">
        <v>2022</v>
      </c>
      <c r="C23" s="10" t="s">
        <v>52</v>
      </c>
      <c r="D23" s="11" t="s">
        <v>55</v>
      </c>
      <c r="E23" s="12">
        <v>134</v>
      </c>
    </row>
    <row r="24" spans="1:5" x14ac:dyDescent="0.3">
      <c r="A24" s="10" t="s">
        <v>48</v>
      </c>
      <c r="B24" s="10">
        <v>2023</v>
      </c>
      <c r="C24" s="10" t="s">
        <v>52</v>
      </c>
      <c r="D24" s="11" t="s">
        <v>55</v>
      </c>
      <c r="E24" s="12">
        <v>136.5</v>
      </c>
    </row>
    <row r="25" spans="1:5" x14ac:dyDescent="0.3">
      <c r="A25" s="10" t="s">
        <v>48</v>
      </c>
      <c r="B25" s="10">
        <v>2024</v>
      </c>
      <c r="C25" s="10" t="s">
        <v>52</v>
      </c>
      <c r="D25" s="11" t="s">
        <v>55</v>
      </c>
      <c r="E25" s="12">
        <v>134.26</v>
      </c>
    </row>
    <row r="26" spans="1:5" x14ac:dyDescent="0.3">
      <c r="A26" s="10" t="s">
        <v>48</v>
      </c>
      <c r="B26" s="10">
        <v>2025</v>
      </c>
      <c r="C26" s="10" t="s">
        <v>52</v>
      </c>
      <c r="D26" s="11" t="s">
        <v>55</v>
      </c>
      <c r="E26" s="12">
        <v>144.63999999999999</v>
      </c>
    </row>
    <row r="27" spans="1:5" x14ac:dyDescent="0.3">
      <c r="A27" s="10" t="s">
        <v>48</v>
      </c>
      <c r="B27" s="10">
        <v>2021</v>
      </c>
      <c r="C27" s="10" t="s">
        <v>52</v>
      </c>
      <c r="D27" s="11" t="s">
        <v>56</v>
      </c>
      <c r="E27" s="12">
        <v>6012.57</v>
      </c>
    </row>
    <row r="28" spans="1:5" x14ac:dyDescent="0.3">
      <c r="A28" s="10" t="s">
        <v>48</v>
      </c>
      <c r="B28" s="10">
        <v>2022</v>
      </c>
      <c r="C28" s="10" t="s">
        <v>52</v>
      </c>
      <c r="D28" s="11" t="s">
        <v>56</v>
      </c>
      <c r="E28" s="12">
        <v>6520.7</v>
      </c>
    </row>
    <row r="29" spans="1:5" x14ac:dyDescent="0.3">
      <c r="A29" s="10" t="s">
        <v>48</v>
      </c>
      <c r="B29" s="10">
        <v>2023</v>
      </c>
      <c r="C29" s="10" t="s">
        <v>52</v>
      </c>
      <c r="D29" s="11" t="s">
        <v>56</v>
      </c>
      <c r="E29" s="12">
        <v>6689.59</v>
      </c>
    </row>
    <row r="30" spans="1:5" x14ac:dyDescent="0.3">
      <c r="A30" s="10" t="s">
        <v>48</v>
      </c>
      <c r="B30" s="10">
        <v>2024</v>
      </c>
      <c r="C30" s="10" t="s">
        <v>52</v>
      </c>
      <c r="D30" s="11" t="s">
        <v>56</v>
      </c>
      <c r="E30" s="12">
        <v>6820.64</v>
      </c>
    </row>
    <row r="31" spans="1:5" x14ac:dyDescent="0.3">
      <c r="A31" s="10" t="s">
        <v>48</v>
      </c>
      <c r="B31" s="10">
        <v>2025</v>
      </c>
      <c r="C31" s="10" t="s">
        <v>52</v>
      </c>
      <c r="D31" s="11" t="s">
        <v>56</v>
      </c>
      <c r="E31" s="12">
        <v>7409.56</v>
      </c>
    </row>
    <row r="32" spans="1:5" x14ac:dyDescent="0.3">
      <c r="A32" s="10" t="s">
        <v>48</v>
      </c>
      <c r="B32" s="10">
        <v>2021</v>
      </c>
      <c r="C32" s="10" t="s">
        <v>57</v>
      </c>
      <c r="D32" s="11" t="s">
        <v>58</v>
      </c>
      <c r="E32" s="12">
        <v>4897.54</v>
      </c>
    </row>
    <row r="33" spans="1:5" x14ac:dyDescent="0.3">
      <c r="A33" s="10" t="s">
        <v>48</v>
      </c>
      <c r="B33" s="10">
        <v>2022</v>
      </c>
      <c r="C33" s="10" t="s">
        <v>57</v>
      </c>
      <c r="D33" s="11" t="s">
        <v>58</v>
      </c>
      <c r="E33" s="12">
        <v>5468.72</v>
      </c>
    </row>
    <row r="34" spans="1:5" x14ac:dyDescent="0.3">
      <c r="A34" s="10" t="s">
        <v>48</v>
      </c>
      <c r="B34" s="10">
        <v>2023</v>
      </c>
      <c r="C34" s="10" t="s">
        <v>57</v>
      </c>
      <c r="D34" s="11" t="s">
        <v>58</v>
      </c>
      <c r="E34" s="12">
        <v>6041.48</v>
      </c>
    </row>
    <row r="35" spans="1:5" x14ac:dyDescent="0.3">
      <c r="A35" s="10" t="s">
        <v>48</v>
      </c>
      <c r="B35" s="10">
        <v>2024</v>
      </c>
      <c r="C35" s="10" t="s">
        <v>57</v>
      </c>
      <c r="D35" s="11" t="s">
        <v>58</v>
      </c>
      <c r="E35" s="12">
        <v>6453.32</v>
      </c>
    </row>
    <row r="36" spans="1:5" x14ac:dyDescent="0.3">
      <c r="A36" s="10" t="s">
        <v>48</v>
      </c>
      <c r="B36" s="10">
        <v>2025</v>
      </c>
      <c r="C36" s="10" t="s">
        <v>57</v>
      </c>
      <c r="D36" s="11" t="s">
        <v>58</v>
      </c>
      <c r="E36" s="12">
        <v>7107.08</v>
      </c>
    </row>
    <row r="37" spans="1:5" x14ac:dyDescent="0.3">
      <c r="A37" s="10" t="s">
        <v>48</v>
      </c>
      <c r="B37" s="10">
        <v>2021</v>
      </c>
      <c r="C37" s="10" t="s">
        <v>57</v>
      </c>
      <c r="D37" s="11" t="s">
        <v>59</v>
      </c>
      <c r="E37" s="12">
        <v>1242.53</v>
      </c>
    </row>
    <row r="38" spans="1:5" x14ac:dyDescent="0.3">
      <c r="A38" s="10" t="s">
        <v>48</v>
      </c>
      <c r="B38" s="10">
        <v>2022</v>
      </c>
      <c r="C38" s="10" t="s">
        <v>57</v>
      </c>
      <c r="D38" s="11" t="s">
        <v>59</v>
      </c>
      <c r="E38" s="12">
        <v>1453.81</v>
      </c>
    </row>
    <row r="39" spans="1:5" x14ac:dyDescent="0.3">
      <c r="A39" s="10" t="s">
        <v>48</v>
      </c>
      <c r="B39" s="10">
        <v>2023</v>
      </c>
      <c r="C39" s="10" t="s">
        <v>57</v>
      </c>
      <c r="D39" s="11" t="s">
        <v>59</v>
      </c>
      <c r="E39" s="12">
        <v>1773.63</v>
      </c>
    </row>
    <row r="40" spans="1:5" x14ac:dyDescent="0.3">
      <c r="A40" s="10" t="s">
        <v>48</v>
      </c>
      <c r="B40" s="10">
        <v>2024</v>
      </c>
      <c r="C40" s="10" t="s">
        <v>57</v>
      </c>
      <c r="D40" s="11" t="s">
        <v>59</v>
      </c>
      <c r="E40" s="12">
        <v>1918.71</v>
      </c>
    </row>
    <row r="41" spans="1:5" x14ac:dyDescent="0.3">
      <c r="A41" s="10" t="s">
        <v>48</v>
      </c>
      <c r="B41" s="10">
        <v>2025</v>
      </c>
      <c r="C41" s="10" t="s">
        <v>57</v>
      </c>
      <c r="D41" s="11" t="s">
        <v>59</v>
      </c>
      <c r="E41" s="12">
        <v>2083.2600000000002</v>
      </c>
    </row>
    <row r="42" spans="1:5" x14ac:dyDescent="0.3">
      <c r="A42" s="10" t="s">
        <v>48</v>
      </c>
      <c r="B42" s="10">
        <v>2021</v>
      </c>
      <c r="C42" s="10" t="s">
        <v>57</v>
      </c>
      <c r="D42" s="11" t="s">
        <v>60</v>
      </c>
      <c r="E42" s="12">
        <v>9426.09</v>
      </c>
    </row>
    <row r="43" spans="1:5" x14ac:dyDescent="0.3">
      <c r="A43" s="10" t="s">
        <v>48</v>
      </c>
      <c r="B43" s="10">
        <v>2022</v>
      </c>
      <c r="C43" s="10" t="s">
        <v>57</v>
      </c>
      <c r="D43" s="11" t="s">
        <v>60</v>
      </c>
      <c r="E43" s="12">
        <v>11432.03</v>
      </c>
    </row>
    <row r="44" spans="1:5" x14ac:dyDescent="0.3">
      <c r="A44" s="10" t="s">
        <v>48</v>
      </c>
      <c r="B44" s="10">
        <v>2023</v>
      </c>
      <c r="C44" s="10" t="s">
        <v>57</v>
      </c>
      <c r="D44" s="11" t="s">
        <v>60</v>
      </c>
      <c r="E44" s="12">
        <v>14328.51</v>
      </c>
    </row>
    <row r="45" spans="1:5" x14ac:dyDescent="0.3">
      <c r="A45" s="10" t="s">
        <v>48</v>
      </c>
      <c r="B45" s="10">
        <v>2024</v>
      </c>
      <c r="C45" s="10" t="s">
        <v>57</v>
      </c>
      <c r="D45" s="11" t="s">
        <v>60</v>
      </c>
      <c r="E45" s="12">
        <v>16682.509999999998</v>
      </c>
    </row>
    <row r="46" spans="1:5" x14ac:dyDescent="0.3">
      <c r="A46" s="10" t="s">
        <v>48</v>
      </c>
      <c r="B46" s="10">
        <v>2025</v>
      </c>
      <c r="C46" s="10" t="s">
        <v>57</v>
      </c>
      <c r="D46" s="11" t="s">
        <v>60</v>
      </c>
      <c r="E46" s="12">
        <v>18728.53</v>
      </c>
    </row>
    <row r="47" spans="1:5" x14ac:dyDescent="0.3">
      <c r="A47" s="10" t="s">
        <v>48</v>
      </c>
      <c r="B47" s="10">
        <v>2021</v>
      </c>
      <c r="C47" s="10" t="s">
        <v>57</v>
      </c>
      <c r="D47" s="11" t="s">
        <v>61</v>
      </c>
      <c r="E47" s="12">
        <v>2740.93</v>
      </c>
    </row>
    <row r="48" spans="1:5" x14ac:dyDescent="0.3">
      <c r="A48" s="10" t="s">
        <v>48</v>
      </c>
      <c r="B48" s="10">
        <v>2022</v>
      </c>
      <c r="C48" s="10" t="s">
        <v>57</v>
      </c>
      <c r="D48" s="11" t="s">
        <v>61</v>
      </c>
      <c r="E48" s="12">
        <v>2765.66</v>
      </c>
    </row>
    <row r="49" spans="1:5" x14ac:dyDescent="0.3">
      <c r="A49" s="10" t="s">
        <v>48</v>
      </c>
      <c r="B49" s="10">
        <v>2023</v>
      </c>
      <c r="C49" s="10" t="s">
        <v>57</v>
      </c>
      <c r="D49" s="11" t="s">
        <v>61</v>
      </c>
      <c r="E49" s="12">
        <v>2844.64</v>
      </c>
    </row>
    <row r="50" spans="1:5" x14ac:dyDescent="0.3">
      <c r="A50" s="10" t="s">
        <v>48</v>
      </c>
      <c r="B50" s="10">
        <v>2024</v>
      </c>
      <c r="C50" s="10" t="s">
        <v>57</v>
      </c>
      <c r="D50" s="11" t="s">
        <v>61</v>
      </c>
      <c r="E50" s="12">
        <v>2975.12</v>
      </c>
    </row>
    <row r="51" spans="1:5" x14ac:dyDescent="0.3">
      <c r="A51" s="10" t="s">
        <v>48</v>
      </c>
      <c r="B51" s="10">
        <v>2025</v>
      </c>
      <c r="C51" s="10" t="s">
        <v>57</v>
      </c>
      <c r="D51" s="11" t="s">
        <v>61</v>
      </c>
      <c r="E51" s="12">
        <v>3105.16</v>
      </c>
    </row>
    <row r="52" spans="1:5" x14ac:dyDescent="0.3">
      <c r="A52" s="10" t="s">
        <v>48</v>
      </c>
      <c r="B52" s="10">
        <v>2021</v>
      </c>
      <c r="C52" s="10" t="s">
        <v>57</v>
      </c>
      <c r="D52" s="11" t="s">
        <v>62</v>
      </c>
      <c r="E52" s="12">
        <v>3115.59</v>
      </c>
    </row>
    <row r="53" spans="1:5" x14ac:dyDescent="0.3">
      <c r="A53" s="10" t="s">
        <v>48</v>
      </c>
      <c r="B53" s="10">
        <v>2022</v>
      </c>
      <c r="C53" s="10" t="s">
        <v>57</v>
      </c>
      <c r="D53" s="11" t="s">
        <v>62</v>
      </c>
      <c r="E53" s="12">
        <v>3654.68</v>
      </c>
    </row>
    <row r="54" spans="1:5" x14ac:dyDescent="0.3">
      <c r="A54" s="10" t="s">
        <v>48</v>
      </c>
      <c r="B54" s="10">
        <v>2023</v>
      </c>
      <c r="C54" s="10" t="s">
        <v>57</v>
      </c>
      <c r="D54" s="11" t="s">
        <v>62</v>
      </c>
      <c r="E54" s="12">
        <v>4210.3900000000003</v>
      </c>
    </row>
    <row r="55" spans="1:5" x14ac:dyDescent="0.3">
      <c r="A55" s="10" t="s">
        <v>48</v>
      </c>
      <c r="B55" s="10">
        <v>2024</v>
      </c>
      <c r="C55" s="10" t="s">
        <v>57</v>
      </c>
      <c r="D55" s="11" t="s">
        <v>62</v>
      </c>
      <c r="E55" s="12">
        <v>5023.71</v>
      </c>
    </row>
    <row r="56" spans="1:5" x14ac:dyDescent="0.3">
      <c r="A56" s="10" t="s">
        <v>48</v>
      </c>
      <c r="B56" s="10">
        <v>2025</v>
      </c>
      <c r="C56" s="10" t="s">
        <v>57</v>
      </c>
      <c r="D56" s="11" t="s">
        <v>62</v>
      </c>
      <c r="E56" s="12">
        <v>5257.47</v>
      </c>
    </row>
    <row r="57" spans="1:5" x14ac:dyDescent="0.3">
      <c r="A57" s="10" t="s">
        <v>48</v>
      </c>
      <c r="B57" s="10">
        <v>2021</v>
      </c>
      <c r="C57" s="10" t="s">
        <v>57</v>
      </c>
      <c r="D57" s="11" t="s">
        <v>63</v>
      </c>
      <c r="E57" s="12">
        <v>2239.7199999999998</v>
      </c>
    </row>
    <row r="58" spans="1:5" x14ac:dyDescent="0.3">
      <c r="A58" s="10" t="s">
        <v>48</v>
      </c>
      <c r="B58" s="10">
        <v>2022</v>
      </c>
      <c r="C58" s="10" t="s">
        <v>57</v>
      </c>
      <c r="D58" s="11" t="s">
        <v>63</v>
      </c>
      <c r="E58" s="12">
        <v>2372.4899999999998</v>
      </c>
    </row>
    <row r="59" spans="1:5" x14ac:dyDescent="0.3">
      <c r="A59" s="10" t="s">
        <v>48</v>
      </c>
      <c r="B59" s="10">
        <v>2023</v>
      </c>
      <c r="C59" s="10" t="s">
        <v>57</v>
      </c>
      <c r="D59" s="11" t="s">
        <v>63</v>
      </c>
      <c r="E59" s="12">
        <v>2457.09</v>
      </c>
    </row>
    <row r="60" spans="1:5" x14ac:dyDescent="0.3">
      <c r="A60" s="10" t="s">
        <v>48</v>
      </c>
      <c r="B60" s="10">
        <v>2024</v>
      </c>
      <c r="C60" s="10" t="s">
        <v>57</v>
      </c>
      <c r="D60" s="11" t="s">
        <v>63</v>
      </c>
      <c r="E60" s="12">
        <v>2496.71</v>
      </c>
    </row>
    <row r="61" spans="1:5" x14ac:dyDescent="0.3">
      <c r="A61" s="10" t="s">
        <v>48</v>
      </c>
      <c r="B61" s="10">
        <v>2025</v>
      </c>
      <c r="C61" s="10" t="s">
        <v>57</v>
      </c>
      <c r="D61" s="11" t="s">
        <v>63</v>
      </c>
      <c r="E61" s="12">
        <v>2685.2</v>
      </c>
    </row>
    <row r="62" spans="1:5" x14ac:dyDescent="0.3">
      <c r="A62" s="10" t="s">
        <v>48</v>
      </c>
      <c r="B62" s="10">
        <v>2021</v>
      </c>
      <c r="C62" s="10" t="s">
        <v>57</v>
      </c>
      <c r="D62" s="11" t="s">
        <v>64</v>
      </c>
      <c r="E62" s="12">
        <v>966.74</v>
      </c>
    </row>
    <row r="63" spans="1:5" x14ac:dyDescent="0.3">
      <c r="A63" s="10" t="s">
        <v>48</v>
      </c>
      <c r="B63" s="10">
        <v>2022</v>
      </c>
      <c r="C63" s="10" t="s">
        <v>57</v>
      </c>
      <c r="D63" s="11" t="s">
        <v>64</v>
      </c>
      <c r="E63" s="12">
        <v>1106.93</v>
      </c>
    </row>
    <row r="64" spans="1:5" x14ac:dyDescent="0.3">
      <c r="A64" s="10" t="s">
        <v>48</v>
      </c>
      <c r="B64" s="10">
        <v>2023</v>
      </c>
      <c r="C64" s="10" t="s">
        <v>57</v>
      </c>
      <c r="D64" s="11" t="s">
        <v>64</v>
      </c>
      <c r="E64" s="12">
        <v>1225.42</v>
      </c>
    </row>
    <row r="65" spans="1:5" x14ac:dyDescent="0.3">
      <c r="A65" s="10" t="s">
        <v>48</v>
      </c>
      <c r="B65" s="10">
        <v>2024</v>
      </c>
      <c r="C65" s="10" t="s">
        <v>57</v>
      </c>
      <c r="D65" s="11" t="s">
        <v>64</v>
      </c>
      <c r="E65" s="12">
        <v>1345.52</v>
      </c>
    </row>
    <row r="66" spans="1:5" x14ac:dyDescent="0.3">
      <c r="A66" s="10" t="s">
        <v>48</v>
      </c>
      <c r="B66" s="10">
        <v>2025</v>
      </c>
      <c r="C66" s="10" t="s">
        <v>57</v>
      </c>
      <c r="D66" s="11" t="s">
        <v>64</v>
      </c>
      <c r="E66" s="12">
        <v>1506.74</v>
      </c>
    </row>
    <row r="67" spans="1:5" x14ac:dyDescent="0.3">
      <c r="A67" s="10" t="s">
        <v>48</v>
      </c>
      <c r="B67" s="10">
        <v>2021</v>
      </c>
      <c r="C67" s="10" t="s">
        <v>57</v>
      </c>
      <c r="D67" s="11" t="s">
        <v>65</v>
      </c>
      <c r="E67" s="12">
        <v>2956.51</v>
      </c>
    </row>
    <row r="68" spans="1:5" x14ac:dyDescent="0.3">
      <c r="A68" s="10" t="s">
        <v>48</v>
      </c>
      <c r="B68" s="10">
        <v>2022</v>
      </c>
      <c r="C68" s="10" t="s">
        <v>57</v>
      </c>
      <c r="D68" s="11" t="s">
        <v>65</v>
      </c>
      <c r="E68" s="12">
        <v>2978.88</v>
      </c>
    </row>
    <row r="69" spans="1:5" x14ac:dyDescent="0.3">
      <c r="A69" s="10" t="s">
        <v>48</v>
      </c>
      <c r="B69" s="10">
        <v>2023</v>
      </c>
      <c r="C69" s="10" t="s">
        <v>57</v>
      </c>
      <c r="D69" s="11" t="s">
        <v>65</v>
      </c>
      <c r="E69" s="12">
        <v>2997.35</v>
      </c>
    </row>
    <row r="70" spans="1:5" x14ac:dyDescent="0.3">
      <c r="A70" s="10" t="s">
        <v>48</v>
      </c>
      <c r="B70" s="10">
        <v>2024</v>
      </c>
      <c r="C70" s="10" t="s">
        <v>57</v>
      </c>
      <c r="D70" s="11" t="s">
        <v>65</v>
      </c>
      <c r="E70" s="12">
        <v>3254.19</v>
      </c>
    </row>
    <row r="71" spans="1:5" x14ac:dyDescent="0.3">
      <c r="A71" s="10" t="s">
        <v>48</v>
      </c>
      <c r="B71" s="10">
        <v>2025</v>
      </c>
      <c r="C71" s="10" t="s">
        <v>57</v>
      </c>
      <c r="D71" s="11" t="s">
        <v>65</v>
      </c>
      <c r="E71" s="12">
        <v>3626.83</v>
      </c>
    </row>
    <row r="72" spans="1:5" x14ac:dyDescent="0.3">
      <c r="A72" s="10" t="s">
        <v>48</v>
      </c>
      <c r="B72" s="10">
        <v>2021</v>
      </c>
      <c r="C72" s="10" t="s">
        <v>57</v>
      </c>
      <c r="D72" s="11" t="s">
        <v>66</v>
      </c>
      <c r="E72" s="12">
        <v>6460.64</v>
      </c>
    </row>
    <row r="73" spans="1:5" x14ac:dyDescent="0.3">
      <c r="A73" s="10" t="s">
        <v>48</v>
      </c>
      <c r="B73" s="10">
        <v>2022</v>
      </c>
      <c r="C73" s="10" t="s">
        <v>57</v>
      </c>
      <c r="D73" s="11" t="s">
        <v>66</v>
      </c>
      <c r="E73" s="12">
        <v>6562.28</v>
      </c>
    </row>
    <row r="74" spans="1:5" x14ac:dyDescent="0.3">
      <c r="A74" s="10" t="s">
        <v>48</v>
      </c>
      <c r="B74" s="10">
        <v>2023</v>
      </c>
      <c r="C74" s="10" t="s">
        <v>57</v>
      </c>
      <c r="D74" s="11" t="s">
        <v>66</v>
      </c>
      <c r="E74" s="12">
        <v>6587.51</v>
      </c>
    </row>
    <row r="75" spans="1:5" x14ac:dyDescent="0.3">
      <c r="A75" s="10" t="s">
        <v>48</v>
      </c>
      <c r="B75" s="10">
        <v>2024</v>
      </c>
      <c r="C75" s="10" t="s">
        <v>57</v>
      </c>
      <c r="D75" s="11" t="s">
        <v>66</v>
      </c>
      <c r="E75" s="12">
        <v>6992.71</v>
      </c>
    </row>
    <row r="76" spans="1:5" x14ac:dyDescent="0.3">
      <c r="A76" s="10" t="s">
        <v>48</v>
      </c>
      <c r="B76" s="10">
        <v>2025</v>
      </c>
      <c r="C76" s="10" t="s">
        <v>57</v>
      </c>
      <c r="D76" s="11" t="s">
        <v>66</v>
      </c>
      <c r="E76" s="12">
        <v>7617.19</v>
      </c>
    </row>
    <row r="77" spans="1:5" x14ac:dyDescent="0.3">
      <c r="A77" s="10" t="s">
        <v>48</v>
      </c>
      <c r="B77" s="10">
        <v>2021</v>
      </c>
      <c r="C77" s="10" t="s">
        <v>57</v>
      </c>
      <c r="D77" s="11" t="s">
        <v>67</v>
      </c>
      <c r="E77" s="12">
        <v>1490.85</v>
      </c>
    </row>
    <row r="78" spans="1:5" x14ac:dyDescent="0.3">
      <c r="A78" s="10" t="s">
        <v>48</v>
      </c>
      <c r="B78" s="10">
        <v>2022</v>
      </c>
      <c r="C78" s="10" t="s">
        <v>57</v>
      </c>
      <c r="D78" s="11" t="s">
        <v>67</v>
      </c>
      <c r="E78" s="12">
        <v>1552.82</v>
      </c>
    </row>
    <row r="79" spans="1:5" x14ac:dyDescent="0.3">
      <c r="A79" s="10" t="s">
        <v>48</v>
      </c>
      <c r="B79" s="10">
        <v>2023</v>
      </c>
      <c r="C79" s="10" t="s">
        <v>57</v>
      </c>
      <c r="D79" s="11" t="s">
        <v>67</v>
      </c>
      <c r="E79" s="12">
        <v>1636.17</v>
      </c>
    </row>
    <row r="80" spans="1:5" x14ac:dyDescent="0.3">
      <c r="A80" s="10" t="s">
        <v>48</v>
      </c>
      <c r="B80" s="10">
        <v>2024</v>
      </c>
      <c r="C80" s="10" t="s">
        <v>57</v>
      </c>
      <c r="D80" s="11" t="s">
        <v>67</v>
      </c>
      <c r="E80" s="12">
        <v>1700.83</v>
      </c>
    </row>
    <row r="81" spans="1:5" x14ac:dyDescent="0.3">
      <c r="A81" s="10" t="s">
        <v>48</v>
      </c>
      <c r="B81" s="10">
        <v>2025</v>
      </c>
      <c r="C81" s="10" t="s">
        <v>57</v>
      </c>
      <c r="D81" s="11" t="s">
        <v>67</v>
      </c>
      <c r="E81" s="12">
        <v>1848.93</v>
      </c>
    </row>
    <row r="82" spans="1:5" x14ac:dyDescent="0.3">
      <c r="A82" s="10" t="s">
        <v>48</v>
      </c>
      <c r="B82" s="10">
        <v>2021</v>
      </c>
      <c r="C82" s="10" t="s">
        <v>57</v>
      </c>
      <c r="D82" s="11" t="s">
        <v>68</v>
      </c>
      <c r="E82" s="12">
        <v>779.22</v>
      </c>
    </row>
    <row r="83" spans="1:5" x14ac:dyDescent="0.3">
      <c r="A83" s="10" t="s">
        <v>48</v>
      </c>
      <c r="B83" s="10">
        <v>2022</v>
      </c>
      <c r="C83" s="10" t="s">
        <v>57</v>
      </c>
      <c r="D83" s="11" t="s">
        <v>68</v>
      </c>
      <c r="E83" s="12">
        <v>895.05</v>
      </c>
    </row>
    <row r="84" spans="1:5" x14ac:dyDescent="0.3">
      <c r="A84" s="10" t="s">
        <v>48</v>
      </c>
      <c r="B84" s="10">
        <v>2023</v>
      </c>
      <c r="C84" s="10" t="s">
        <v>57</v>
      </c>
      <c r="D84" s="11" t="s">
        <v>68</v>
      </c>
      <c r="E84" s="12">
        <v>999</v>
      </c>
    </row>
    <row r="85" spans="1:5" x14ac:dyDescent="0.3">
      <c r="A85" s="10" t="s">
        <v>48</v>
      </c>
      <c r="B85" s="10">
        <v>2024</v>
      </c>
      <c r="C85" s="10" t="s">
        <v>57</v>
      </c>
      <c r="D85" s="11" t="s">
        <v>68</v>
      </c>
      <c r="E85" s="12">
        <v>1108.03</v>
      </c>
    </row>
    <row r="86" spans="1:5" x14ac:dyDescent="0.3">
      <c r="A86" s="10" t="s">
        <v>48</v>
      </c>
      <c r="B86" s="10">
        <v>2025</v>
      </c>
      <c r="C86" s="10" t="s">
        <v>57</v>
      </c>
      <c r="D86" s="11" t="s">
        <v>68</v>
      </c>
      <c r="E86" s="12">
        <v>1223.51</v>
      </c>
    </row>
    <row r="87" spans="1:5" x14ac:dyDescent="0.3">
      <c r="A87" s="10" t="s">
        <v>69</v>
      </c>
      <c r="B87" s="10">
        <v>2021</v>
      </c>
      <c r="C87" s="10" t="s">
        <v>49</v>
      </c>
      <c r="D87" s="11" t="s">
        <v>50</v>
      </c>
      <c r="E87" s="12">
        <v>3817.98</v>
      </c>
    </row>
    <row r="88" spans="1:5" x14ac:dyDescent="0.3">
      <c r="A88" s="10" t="s">
        <v>69</v>
      </c>
      <c r="B88" s="10">
        <v>2022</v>
      </c>
      <c r="C88" s="10" t="s">
        <v>49</v>
      </c>
      <c r="D88" s="11" t="s">
        <v>50</v>
      </c>
      <c r="E88" s="12">
        <v>3958.84</v>
      </c>
    </row>
    <row r="89" spans="1:5" x14ac:dyDescent="0.3">
      <c r="A89" s="10" t="s">
        <v>69</v>
      </c>
      <c r="B89" s="10">
        <v>2023</v>
      </c>
      <c r="C89" s="10" t="s">
        <v>49</v>
      </c>
      <c r="D89" s="11" t="s">
        <v>50</v>
      </c>
      <c r="E89" s="12">
        <v>4152.83</v>
      </c>
    </row>
    <row r="90" spans="1:5" x14ac:dyDescent="0.3">
      <c r="A90" s="10" t="s">
        <v>69</v>
      </c>
      <c r="B90" s="10">
        <v>2024</v>
      </c>
      <c r="C90" s="10" t="s">
        <v>49</v>
      </c>
      <c r="D90" s="11" t="s">
        <v>50</v>
      </c>
      <c r="E90" s="12">
        <v>4418.71</v>
      </c>
    </row>
    <row r="91" spans="1:5" x14ac:dyDescent="0.3">
      <c r="A91" s="10" t="s">
        <v>69</v>
      </c>
      <c r="B91" s="10">
        <v>2025</v>
      </c>
      <c r="C91" s="10" t="s">
        <v>49</v>
      </c>
      <c r="D91" s="11" t="s">
        <v>50</v>
      </c>
      <c r="E91" s="12">
        <v>4724.55</v>
      </c>
    </row>
    <row r="92" spans="1:5" x14ac:dyDescent="0.3">
      <c r="A92" s="10" t="s">
        <v>69</v>
      </c>
      <c r="B92" s="10">
        <v>2021</v>
      </c>
      <c r="C92" s="10" t="s">
        <v>49</v>
      </c>
      <c r="D92" s="11" t="s">
        <v>51</v>
      </c>
      <c r="E92" s="12">
        <v>162.83000000000001</v>
      </c>
    </row>
    <row r="93" spans="1:5" x14ac:dyDescent="0.3">
      <c r="A93" s="10" t="s">
        <v>69</v>
      </c>
      <c r="B93" s="10">
        <v>2022</v>
      </c>
      <c r="C93" s="10" t="s">
        <v>49</v>
      </c>
      <c r="D93" s="11" t="s">
        <v>51</v>
      </c>
      <c r="E93" s="12">
        <v>173.45</v>
      </c>
    </row>
    <row r="94" spans="1:5" x14ac:dyDescent="0.3">
      <c r="A94" s="10" t="s">
        <v>69</v>
      </c>
      <c r="B94" s="10">
        <v>2023</v>
      </c>
      <c r="C94" s="10" t="s">
        <v>49</v>
      </c>
      <c r="D94" s="11" t="s">
        <v>51</v>
      </c>
      <c r="E94" s="12">
        <v>176.42</v>
      </c>
    </row>
    <row r="95" spans="1:5" x14ac:dyDescent="0.3">
      <c r="A95" s="10" t="s">
        <v>69</v>
      </c>
      <c r="B95" s="10">
        <v>2024</v>
      </c>
      <c r="C95" s="10" t="s">
        <v>49</v>
      </c>
      <c r="D95" s="11" t="s">
        <v>51</v>
      </c>
      <c r="E95" s="12">
        <v>175.54</v>
      </c>
    </row>
    <row r="96" spans="1:5" x14ac:dyDescent="0.3">
      <c r="A96" s="10" t="s">
        <v>69</v>
      </c>
      <c r="B96" s="10">
        <v>2025</v>
      </c>
      <c r="C96" s="10" t="s">
        <v>49</v>
      </c>
      <c r="D96" s="11" t="s">
        <v>51</v>
      </c>
      <c r="E96" s="12">
        <v>173.69</v>
      </c>
    </row>
    <row r="97" spans="1:5" x14ac:dyDescent="0.3">
      <c r="A97" s="10" t="s">
        <v>69</v>
      </c>
      <c r="B97" s="10">
        <v>2021</v>
      </c>
      <c r="C97" s="10" t="s">
        <v>52</v>
      </c>
      <c r="D97" s="11" t="s">
        <v>53</v>
      </c>
      <c r="E97" s="12">
        <v>2149.64</v>
      </c>
    </row>
    <row r="98" spans="1:5" x14ac:dyDescent="0.3">
      <c r="A98" s="10" t="s">
        <v>69</v>
      </c>
      <c r="B98" s="10">
        <v>2022</v>
      </c>
      <c r="C98" s="10" t="s">
        <v>52</v>
      </c>
      <c r="D98" s="11" t="s">
        <v>53</v>
      </c>
      <c r="E98" s="12">
        <v>2340.27</v>
      </c>
    </row>
    <row r="99" spans="1:5" x14ac:dyDescent="0.3">
      <c r="A99" s="10" t="s">
        <v>69</v>
      </c>
      <c r="B99" s="10">
        <v>2023</v>
      </c>
      <c r="C99" s="10" t="s">
        <v>52</v>
      </c>
      <c r="D99" s="11" t="s">
        <v>53</v>
      </c>
      <c r="E99" s="12">
        <v>2447.36</v>
      </c>
    </row>
    <row r="100" spans="1:5" x14ac:dyDescent="0.3">
      <c r="A100" s="10" t="s">
        <v>69</v>
      </c>
      <c r="B100" s="10">
        <v>2024</v>
      </c>
      <c r="C100" s="10" t="s">
        <v>52</v>
      </c>
      <c r="D100" s="11" t="s">
        <v>53</v>
      </c>
      <c r="E100" s="12">
        <v>2609.0500000000002</v>
      </c>
    </row>
    <row r="101" spans="1:5" x14ac:dyDescent="0.3">
      <c r="A101" s="10" t="s">
        <v>69</v>
      </c>
      <c r="B101" s="10">
        <v>2025</v>
      </c>
      <c r="C101" s="10" t="s">
        <v>52</v>
      </c>
      <c r="D101" s="11" t="s">
        <v>53</v>
      </c>
      <c r="E101" s="12">
        <v>2827.52</v>
      </c>
    </row>
    <row r="102" spans="1:5" x14ac:dyDescent="0.3">
      <c r="A102" s="10" t="s">
        <v>69</v>
      </c>
      <c r="B102" s="10">
        <v>2021</v>
      </c>
      <c r="C102" s="10" t="s">
        <v>52</v>
      </c>
      <c r="D102" s="11" t="s">
        <v>54</v>
      </c>
      <c r="E102" s="12">
        <v>69.459999999999994</v>
      </c>
    </row>
    <row r="103" spans="1:5" x14ac:dyDescent="0.3">
      <c r="A103" s="10" t="s">
        <v>69</v>
      </c>
      <c r="B103" s="10">
        <v>2022</v>
      </c>
      <c r="C103" s="10" t="s">
        <v>52</v>
      </c>
      <c r="D103" s="11" t="s">
        <v>54</v>
      </c>
      <c r="E103" s="12">
        <v>86.47</v>
      </c>
    </row>
    <row r="104" spans="1:5" x14ac:dyDescent="0.3">
      <c r="A104" s="10" t="s">
        <v>69</v>
      </c>
      <c r="B104" s="10">
        <v>2023</v>
      </c>
      <c r="C104" s="10" t="s">
        <v>52</v>
      </c>
      <c r="D104" s="11" t="s">
        <v>54</v>
      </c>
      <c r="E104" s="12">
        <v>98.01</v>
      </c>
    </row>
    <row r="105" spans="1:5" x14ac:dyDescent="0.3">
      <c r="A105" s="10" t="s">
        <v>69</v>
      </c>
      <c r="B105" s="10">
        <v>2024</v>
      </c>
      <c r="C105" s="10" t="s">
        <v>52</v>
      </c>
      <c r="D105" s="11" t="s">
        <v>54</v>
      </c>
      <c r="E105" s="12">
        <v>101.1</v>
      </c>
    </row>
    <row r="106" spans="1:5" x14ac:dyDescent="0.3">
      <c r="A106" s="10" t="s">
        <v>69</v>
      </c>
      <c r="B106" s="10">
        <v>2025</v>
      </c>
      <c r="C106" s="10" t="s">
        <v>52</v>
      </c>
      <c r="D106" s="11" t="s">
        <v>54</v>
      </c>
      <c r="E106" s="12">
        <v>107.55</v>
      </c>
    </row>
    <row r="107" spans="1:5" x14ac:dyDescent="0.3">
      <c r="A107" s="10" t="s">
        <v>69</v>
      </c>
      <c r="B107" s="10">
        <v>2021</v>
      </c>
      <c r="C107" s="10" t="s">
        <v>52</v>
      </c>
      <c r="D107" s="11" t="s">
        <v>55</v>
      </c>
      <c r="E107" s="12">
        <v>122.32</v>
      </c>
    </row>
    <row r="108" spans="1:5" x14ac:dyDescent="0.3">
      <c r="A108" s="10" t="s">
        <v>69</v>
      </c>
      <c r="B108" s="10">
        <v>2022</v>
      </c>
      <c r="C108" s="10" t="s">
        <v>52</v>
      </c>
      <c r="D108" s="11" t="s">
        <v>55</v>
      </c>
      <c r="E108" s="12">
        <v>126</v>
      </c>
    </row>
    <row r="109" spans="1:5" x14ac:dyDescent="0.3">
      <c r="A109" s="10" t="s">
        <v>69</v>
      </c>
      <c r="B109" s="10">
        <v>2023</v>
      </c>
      <c r="C109" s="10" t="s">
        <v>52</v>
      </c>
      <c r="D109" s="11" t="s">
        <v>55</v>
      </c>
      <c r="E109" s="12">
        <v>133.72</v>
      </c>
    </row>
    <row r="110" spans="1:5" x14ac:dyDescent="0.3">
      <c r="A110" s="10" t="s">
        <v>69</v>
      </c>
      <c r="B110" s="10">
        <v>2024</v>
      </c>
      <c r="C110" s="10" t="s">
        <v>52</v>
      </c>
      <c r="D110" s="11" t="s">
        <v>55</v>
      </c>
      <c r="E110" s="12">
        <v>144.25</v>
      </c>
    </row>
    <row r="111" spans="1:5" x14ac:dyDescent="0.3">
      <c r="A111" s="10" t="s">
        <v>69</v>
      </c>
      <c r="B111" s="10">
        <v>2025</v>
      </c>
      <c r="C111" s="10" t="s">
        <v>52</v>
      </c>
      <c r="D111" s="11" t="s">
        <v>55</v>
      </c>
      <c r="E111" s="12">
        <v>151.35</v>
      </c>
    </row>
    <row r="112" spans="1:5" x14ac:dyDescent="0.3">
      <c r="A112" s="10" t="s">
        <v>69</v>
      </c>
      <c r="B112" s="10">
        <v>2021</v>
      </c>
      <c r="C112" s="10" t="s">
        <v>52</v>
      </c>
      <c r="D112" s="11" t="s">
        <v>56</v>
      </c>
      <c r="E112" s="12">
        <v>5225.3599999999997</v>
      </c>
    </row>
    <row r="113" spans="1:5" x14ac:dyDescent="0.3">
      <c r="A113" s="10" t="s">
        <v>69</v>
      </c>
      <c r="B113" s="10">
        <v>2022</v>
      </c>
      <c r="C113" s="10" t="s">
        <v>52</v>
      </c>
      <c r="D113" s="11" t="s">
        <v>56</v>
      </c>
      <c r="E113" s="12">
        <v>5683</v>
      </c>
    </row>
    <row r="114" spans="1:5" x14ac:dyDescent="0.3">
      <c r="A114" s="10" t="s">
        <v>69</v>
      </c>
      <c r="B114" s="10">
        <v>2023</v>
      </c>
      <c r="C114" s="10" t="s">
        <v>52</v>
      </c>
      <c r="D114" s="11" t="s">
        <v>56</v>
      </c>
      <c r="E114" s="12">
        <v>5831.28</v>
      </c>
    </row>
    <row r="115" spans="1:5" x14ac:dyDescent="0.3">
      <c r="A115" s="10" t="s">
        <v>69</v>
      </c>
      <c r="B115" s="10">
        <v>2024</v>
      </c>
      <c r="C115" s="10" t="s">
        <v>52</v>
      </c>
      <c r="D115" s="11" t="s">
        <v>56</v>
      </c>
      <c r="E115" s="12">
        <v>5936.59</v>
      </c>
    </row>
    <row r="116" spans="1:5" x14ac:dyDescent="0.3">
      <c r="A116" s="10" t="s">
        <v>69</v>
      </c>
      <c r="B116" s="10">
        <v>2025</v>
      </c>
      <c r="C116" s="10" t="s">
        <v>52</v>
      </c>
      <c r="D116" s="11" t="s">
        <v>56</v>
      </c>
      <c r="E116" s="12">
        <v>6313.73</v>
      </c>
    </row>
    <row r="117" spans="1:5" x14ac:dyDescent="0.3">
      <c r="A117" s="10" t="s">
        <v>69</v>
      </c>
      <c r="B117" s="10">
        <v>2021</v>
      </c>
      <c r="C117" s="10" t="s">
        <v>57</v>
      </c>
      <c r="D117" s="11" t="s">
        <v>58</v>
      </c>
      <c r="E117" s="12">
        <v>3838.16</v>
      </c>
    </row>
    <row r="118" spans="1:5" x14ac:dyDescent="0.3">
      <c r="A118" s="10" t="s">
        <v>69</v>
      </c>
      <c r="B118" s="10">
        <v>2022</v>
      </c>
      <c r="C118" s="10" t="s">
        <v>57</v>
      </c>
      <c r="D118" s="11" t="s">
        <v>58</v>
      </c>
      <c r="E118" s="12">
        <v>4320.9799999999996</v>
      </c>
    </row>
    <row r="119" spans="1:5" x14ac:dyDescent="0.3">
      <c r="A119" s="10" t="s">
        <v>69</v>
      </c>
      <c r="B119" s="10">
        <v>2023</v>
      </c>
      <c r="C119" s="10" t="s">
        <v>57</v>
      </c>
      <c r="D119" s="11" t="s">
        <v>58</v>
      </c>
      <c r="E119" s="12">
        <v>4740.95</v>
      </c>
    </row>
    <row r="120" spans="1:5" x14ac:dyDescent="0.3">
      <c r="A120" s="10" t="s">
        <v>69</v>
      </c>
      <c r="B120" s="10">
        <v>2024</v>
      </c>
      <c r="C120" s="10" t="s">
        <v>57</v>
      </c>
      <c r="D120" s="11" t="s">
        <v>58</v>
      </c>
      <c r="E120" s="12">
        <v>5023.68</v>
      </c>
    </row>
    <row r="121" spans="1:5" x14ac:dyDescent="0.3">
      <c r="A121" s="10" t="s">
        <v>69</v>
      </c>
      <c r="B121" s="10">
        <v>2025</v>
      </c>
      <c r="C121" s="10" t="s">
        <v>57</v>
      </c>
      <c r="D121" s="11" t="s">
        <v>58</v>
      </c>
      <c r="E121" s="12">
        <v>5481.31</v>
      </c>
    </row>
    <row r="122" spans="1:5" x14ac:dyDescent="0.3">
      <c r="A122" s="10" t="s">
        <v>69</v>
      </c>
      <c r="B122" s="10">
        <v>2021</v>
      </c>
      <c r="C122" s="10" t="s">
        <v>57</v>
      </c>
      <c r="D122" s="11" t="s">
        <v>59</v>
      </c>
      <c r="E122" s="12">
        <v>5734.1</v>
      </c>
    </row>
    <row r="123" spans="1:5" x14ac:dyDescent="0.3">
      <c r="A123" s="10" t="s">
        <v>69</v>
      </c>
      <c r="B123" s="10">
        <v>2022</v>
      </c>
      <c r="C123" s="10" t="s">
        <v>57</v>
      </c>
      <c r="D123" s="11" t="s">
        <v>59</v>
      </c>
      <c r="E123" s="12">
        <v>11477.87</v>
      </c>
    </row>
    <row r="124" spans="1:5" x14ac:dyDescent="0.3">
      <c r="A124" s="10" t="s">
        <v>69</v>
      </c>
      <c r="B124" s="10">
        <v>2023</v>
      </c>
      <c r="C124" s="10" t="s">
        <v>57</v>
      </c>
      <c r="D124" s="11" t="s">
        <v>59</v>
      </c>
      <c r="E124" s="12">
        <v>19128.5</v>
      </c>
    </row>
    <row r="125" spans="1:5" x14ac:dyDescent="0.3">
      <c r="A125" s="10" t="s">
        <v>69</v>
      </c>
      <c r="B125" s="10">
        <v>2024</v>
      </c>
      <c r="C125" s="10" t="s">
        <v>57</v>
      </c>
      <c r="D125" s="11" t="s">
        <v>59</v>
      </c>
      <c r="E125" s="12">
        <v>21326.04</v>
      </c>
    </row>
    <row r="126" spans="1:5" x14ac:dyDescent="0.3">
      <c r="A126" s="10" t="s">
        <v>69</v>
      </c>
      <c r="B126" s="10">
        <v>2025</v>
      </c>
      <c r="C126" s="10" t="s">
        <v>57</v>
      </c>
      <c r="D126" s="11" t="s">
        <v>59</v>
      </c>
      <c r="E126" s="12">
        <v>22903.15</v>
      </c>
    </row>
    <row r="127" spans="1:5" x14ac:dyDescent="0.3">
      <c r="A127" s="10" t="s">
        <v>69</v>
      </c>
      <c r="B127" s="10">
        <v>2021</v>
      </c>
      <c r="C127" s="10" t="s">
        <v>57</v>
      </c>
      <c r="D127" s="11" t="s">
        <v>60</v>
      </c>
      <c r="E127" s="12">
        <v>10415.39</v>
      </c>
    </row>
    <row r="128" spans="1:5" x14ac:dyDescent="0.3">
      <c r="A128" s="10" t="s">
        <v>69</v>
      </c>
      <c r="B128" s="10">
        <v>2022</v>
      </c>
      <c r="C128" s="10" t="s">
        <v>57</v>
      </c>
      <c r="D128" s="11" t="s">
        <v>60</v>
      </c>
      <c r="E128" s="12">
        <v>13034.22</v>
      </c>
    </row>
    <row r="129" spans="1:5" x14ac:dyDescent="0.3">
      <c r="A129" s="10" t="s">
        <v>69</v>
      </c>
      <c r="B129" s="10">
        <v>2023</v>
      </c>
      <c r="C129" s="10" t="s">
        <v>57</v>
      </c>
      <c r="D129" s="11" t="s">
        <v>60</v>
      </c>
      <c r="E129" s="12">
        <v>16877.400000000001</v>
      </c>
    </row>
    <row r="130" spans="1:5" x14ac:dyDescent="0.3">
      <c r="A130" s="10" t="s">
        <v>69</v>
      </c>
      <c r="B130" s="10">
        <v>2024</v>
      </c>
      <c r="C130" s="10" t="s">
        <v>57</v>
      </c>
      <c r="D130" s="11" t="s">
        <v>60</v>
      </c>
      <c r="E130" s="12">
        <v>19318.41</v>
      </c>
    </row>
    <row r="131" spans="1:5" x14ac:dyDescent="0.3">
      <c r="A131" s="10" t="s">
        <v>69</v>
      </c>
      <c r="B131" s="10">
        <v>2025</v>
      </c>
      <c r="C131" s="10" t="s">
        <v>57</v>
      </c>
      <c r="D131" s="11" t="s">
        <v>60</v>
      </c>
      <c r="E131" s="12">
        <v>21746.7</v>
      </c>
    </row>
    <row r="132" spans="1:5" x14ac:dyDescent="0.3">
      <c r="A132" s="10" t="s">
        <v>69</v>
      </c>
      <c r="B132" s="10">
        <v>2021</v>
      </c>
      <c r="C132" s="10" t="s">
        <v>57</v>
      </c>
      <c r="D132" s="11" t="s">
        <v>61</v>
      </c>
      <c r="E132" s="12">
        <v>4073.86</v>
      </c>
    </row>
    <row r="133" spans="1:5" x14ac:dyDescent="0.3">
      <c r="A133" s="10" t="s">
        <v>69</v>
      </c>
      <c r="B133" s="10">
        <v>2022</v>
      </c>
      <c r="C133" s="10" t="s">
        <v>57</v>
      </c>
      <c r="D133" s="11" t="s">
        <v>61</v>
      </c>
      <c r="E133" s="12">
        <v>4133.37</v>
      </c>
    </row>
    <row r="134" spans="1:5" x14ac:dyDescent="0.3">
      <c r="A134" s="10" t="s">
        <v>69</v>
      </c>
      <c r="B134" s="10">
        <v>2023</v>
      </c>
      <c r="C134" s="10" t="s">
        <v>57</v>
      </c>
      <c r="D134" s="11" t="s">
        <v>61</v>
      </c>
      <c r="E134" s="12">
        <v>4216.55</v>
      </c>
    </row>
    <row r="135" spans="1:5" x14ac:dyDescent="0.3">
      <c r="A135" s="10" t="s">
        <v>69</v>
      </c>
      <c r="B135" s="10">
        <v>2024</v>
      </c>
      <c r="C135" s="10" t="s">
        <v>57</v>
      </c>
      <c r="D135" s="11" t="s">
        <v>61</v>
      </c>
      <c r="E135" s="12">
        <v>4474.42</v>
      </c>
    </row>
    <row r="136" spans="1:5" x14ac:dyDescent="0.3">
      <c r="A136" s="10" t="s">
        <v>69</v>
      </c>
      <c r="B136" s="10">
        <v>2025</v>
      </c>
      <c r="C136" s="10" t="s">
        <v>57</v>
      </c>
      <c r="D136" s="11" t="s">
        <v>61</v>
      </c>
      <c r="E136" s="12">
        <v>4670.82</v>
      </c>
    </row>
    <row r="137" spans="1:5" x14ac:dyDescent="0.3">
      <c r="A137" s="10" t="s">
        <v>69</v>
      </c>
      <c r="B137" s="10">
        <v>2021</v>
      </c>
      <c r="C137" s="10" t="s">
        <v>57</v>
      </c>
      <c r="D137" s="11" t="s">
        <v>62</v>
      </c>
      <c r="E137" s="12">
        <v>1487.86</v>
      </c>
    </row>
    <row r="138" spans="1:5" x14ac:dyDescent="0.3">
      <c r="A138" s="10" t="s">
        <v>69</v>
      </c>
      <c r="B138" s="10">
        <v>2022</v>
      </c>
      <c r="C138" s="10" t="s">
        <v>57</v>
      </c>
      <c r="D138" s="11" t="s">
        <v>62</v>
      </c>
      <c r="E138" s="12">
        <v>1753.19</v>
      </c>
    </row>
    <row r="139" spans="1:5" x14ac:dyDescent="0.3">
      <c r="A139" s="10" t="s">
        <v>69</v>
      </c>
      <c r="B139" s="10">
        <v>2023</v>
      </c>
      <c r="C139" s="10" t="s">
        <v>57</v>
      </c>
      <c r="D139" s="11" t="s">
        <v>62</v>
      </c>
      <c r="E139" s="12">
        <v>2043.88</v>
      </c>
    </row>
    <row r="140" spans="1:5" x14ac:dyDescent="0.3">
      <c r="A140" s="10" t="s">
        <v>69</v>
      </c>
      <c r="B140" s="10">
        <v>2024</v>
      </c>
      <c r="C140" s="10" t="s">
        <v>57</v>
      </c>
      <c r="D140" s="11" t="s">
        <v>62</v>
      </c>
      <c r="E140" s="12">
        <v>2441.59</v>
      </c>
    </row>
    <row r="141" spans="1:5" x14ac:dyDescent="0.3">
      <c r="A141" s="10" t="s">
        <v>69</v>
      </c>
      <c r="B141" s="10">
        <v>2025</v>
      </c>
      <c r="C141" s="10" t="s">
        <v>57</v>
      </c>
      <c r="D141" s="11" t="s">
        <v>62</v>
      </c>
      <c r="E141" s="12">
        <v>2559.9699999999998</v>
      </c>
    </row>
    <row r="142" spans="1:5" x14ac:dyDescent="0.3">
      <c r="A142" s="10" t="s">
        <v>69</v>
      </c>
      <c r="B142" s="10">
        <v>2021</v>
      </c>
      <c r="C142" s="10" t="s">
        <v>57</v>
      </c>
      <c r="D142" s="11" t="s">
        <v>63</v>
      </c>
      <c r="E142" s="12">
        <v>2064.84</v>
      </c>
    </row>
    <row r="143" spans="1:5" x14ac:dyDescent="0.3">
      <c r="A143" s="10" t="s">
        <v>69</v>
      </c>
      <c r="B143" s="10">
        <v>2022</v>
      </c>
      <c r="C143" s="10" t="s">
        <v>57</v>
      </c>
      <c r="D143" s="11" t="s">
        <v>63</v>
      </c>
      <c r="E143" s="12">
        <v>2204.54</v>
      </c>
    </row>
    <row r="144" spans="1:5" x14ac:dyDescent="0.3">
      <c r="A144" s="10" t="s">
        <v>69</v>
      </c>
      <c r="B144" s="10">
        <v>2023</v>
      </c>
      <c r="C144" s="10" t="s">
        <v>57</v>
      </c>
      <c r="D144" s="11" t="s">
        <v>63</v>
      </c>
      <c r="E144" s="12">
        <v>2278.75</v>
      </c>
    </row>
    <row r="145" spans="1:5" x14ac:dyDescent="0.3">
      <c r="A145" s="10" t="s">
        <v>69</v>
      </c>
      <c r="B145" s="10">
        <v>2024</v>
      </c>
      <c r="C145" s="10" t="s">
        <v>57</v>
      </c>
      <c r="D145" s="11" t="s">
        <v>63</v>
      </c>
      <c r="E145" s="12">
        <v>2370.02</v>
      </c>
    </row>
    <row r="146" spans="1:5" x14ac:dyDescent="0.3">
      <c r="A146" s="10" t="s">
        <v>69</v>
      </c>
      <c r="B146" s="10">
        <v>2025</v>
      </c>
      <c r="C146" s="10" t="s">
        <v>57</v>
      </c>
      <c r="D146" s="11" t="s">
        <v>63</v>
      </c>
      <c r="E146" s="12">
        <v>2499.94</v>
      </c>
    </row>
    <row r="147" spans="1:5" x14ac:dyDescent="0.3">
      <c r="A147" s="10" t="s">
        <v>69</v>
      </c>
      <c r="B147" s="10">
        <v>2021</v>
      </c>
      <c r="C147" s="10" t="s">
        <v>57</v>
      </c>
      <c r="D147" s="11" t="s">
        <v>64</v>
      </c>
      <c r="E147" s="12">
        <v>402.67</v>
      </c>
    </row>
    <row r="148" spans="1:5" x14ac:dyDescent="0.3">
      <c r="A148" s="10" t="s">
        <v>69</v>
      </c>
      <c r="B148" s="10">
        <v>2022</v>
      </c>
      <c r="C148" s="10" t="s">
        <v>57</v>
      </c>
      <c r="D148" s="11" t="s">
        <v>64</v>
      </c>
      <c r="E148" s="12">
        <v>458.28</v>
      </c>
    </row>
    <row r="149" spans="1:5" x14ac:dyDescent="0.3">
      <c r="A149" s="10" t="s">
        <v>69</v>
      </c>
      <c r="B149" s="10">
        <v>2023</v>
      </c>
      <c r="C149" s="10" t="s">
        <v>57</v>
      </c>
      <c r="D149" s="11" t="s">
        <v>64</v>
      </c>
      <c r="E149" s="12">
        <v>508.42</v>
      </c>
    </row>
    <row r="150" spans="1:5" x14ac:dyDescent="0.3">
      <c r="A150" s="10" t="s">
        <v>69</v>
      </c>
      <c r="B150" s="10">
        <v>2024</v>
      </c>
      <c r="C150" s="10" t="s">
        <v>57</v>
      </c>
      <c r="D150" s="11" t="s">
        <v>64</v>
      </c>
      <c r="E150" s="12">
        <v>564.33000000000004</v>
      </c>
    </row>
    <row r="151" spans="1:5" x14ac:dyDescent="0.3">
      <c r="A151" s="10" t="s">
        <v>69</v>
      </c>
      <c r="B151" s="10">
        <v>2025</v>
      </c>
      <c r="C151" s="10" t="s">
        <v>57</v>
      </c>
      <c r="D151" s="11" t="s">
        <v>64</v>
      </c>
      <c r="E151" s="12">
        <v>617.98</v>
      </c>
    </row>
    <row r="152" spans="1:5" x14ac:dyDescent="0.3">
      <c r="A152" s="10" t="s">
        <v>69</v>
      </c>
      <c r="B152" s="10">
        <v>2021</v>
      </c>
      <c r="C152" s="10" t="s">
        <v>57</v>
      </c>
      <c r="D152" s="11" t="s">
        <v>65</v>
      </c>
      <c r="E152" s="12">
        <v>2001.23</v>
      </c>
    </row>
    <row r="153" spans="1:5" x14ac:dyDescent="0.3">
      <c r="A153" s="10" t="s">
        <v>69</v>
      </c>
      <c r="B153" s="10">
        <v>2022</v>
      </c>
      <c r="C153" s="10" t="s">
        <v>57</v>
      </c>
      <c r="D153" s="11" t="s">
        <v>65</v>
      </c>
      <c r="E153" s="12">
        <v>2086.2399999999998</v>
      </c>
    </row>
    <row r="154" spans="1:5" x14ac:dyDescent="0.3">
      <c r="A154" s="10" t="s">
        <v>69</v>
      </c>
      <c r="B154" s="10">
        <v>2023</v>
      </c>
      <c r="C154" s="10" t="s">
        <v>57</v>
      </c>
      <c r="D154" s="11" t="s">
        <v>65</v>
      </c>
      <c r="E154" s="12">
        <v>2184.12</v>
      </c>
    </row>
    <row r="155" spans="1:5" x14ac:dyDescent="0.3">
      <c r="A155" s="10" t="s">
        <v>69</v>
      </c>
      <c r="B155" s="10">
        <v>2024</v>
      </c>
      <c r="C155" s="10" t="s">
        <v>57</v>
      </c>
      <c r="D155" s="11" t="s">
        <v>65</v>
      </c>
      <c r="E155" s="12">
        <v>2458.9899999999998</v>
      </c>
    </row>
    <row r="156" spans="1:5" x14ac:dyDescent="0.3">
      <c r="A156" s="10" t="s">
        <v>69</v>
      </c>
      <c r="B156" s="10">
        <v>2025</v>
      </c>
      <c r="C156" s="10" t="s">
        <v>57</v>
      </c>
      <c r="D156" s="11" t="s">
        <v>65</v>
      </c>
      <c r="E156" s="12">
        <v>2835.98</v>
      </c>
    </row>
    <row r="157" spans="1:5" x14ac:dyDescent="0.3">
      <c r="A157" s="10" t="s">
        <v>69</v>
      </c>
      <c r="B157" s="10">
        <v>2021</v>
      </c>
      <c r="C157" s="10" t="s">
        <v>57</v>
      </c>
      <c r="D157" s="11" t="s">
        <v>66</v>
      </c>
      <c r="E157" s="12">
        <v>1946.43</v>
      </c>
    </row>
    <row r="158" spans="1:5" x14ac:dyDescent="0.3">
      <c r="A158" s="10" t="s">
        <v>69</v>
      </c>
      <c r="B158" s="10">
        <v>2022</v>
      </c>
      <c r="C158" s="10" t="s">
        <v>57</v>
      </c>
      <c r="D158" s="11" t="s">
        <v>66</v>
      </c>
      <c r="E158" s="12">
        <v>1965.51</v>
      </c>
    </row>
    <row r="159" spans="1:5" x14ac:dyDescent="0.3">
      <c r="A159" s="10" t="s">
        <v>69</v>
      </c>
      <c r="B159" s="10">
        <v>2023</v>
      </c>
      <c r="C159" s="10" t="s">
        <v>57</v>
      </c>
      <c r="D159" s="11" t="s">
        <v>66</v>
      </c>
      <c r="E159" s="12">
        <v>1980.37</v>
      </c>
    </row>
    <row r="160" spans="1:5" x14ac:dyDescent="0.3">
      <c r="A160" s="10" t="s">
        <v>69</v>
      </c>
      <c r="B160" s="10">
        <v>2024</v>
      </c>
      <c r="C160" s="10" t="s">
        <v>57</v>
      </c>
      <c r="D160" s="11" t="s">
        <v>66</v>
      </c>
      <c r="E160" s="12">
        <v>2004.09</v>
      </c>
    </row>
    <row r="161" spans="1:5" x14ac:dyDescent="0.3">
      <c r="A161" s="10" t="s">
        <v>69</v>
      </c>
      <c r="B161" s="10">
        <v>2025</v>
      </c>
      <c r="C161" s="10" t="s">
        <v>57</v>
      </c>
      <c r="D161" s="11" t="s">
        <v>66</v>
      </c>
      <c r="E161" s="12">
        <v>2176.09</v>
      </c>
    </row>
    <row r="162" spans="1:5" x14ac:dyDescent="0.3">
      <c r="A162" s="10" t="s">
        <v>69</v>
      </c>
      <c r="B162" s="10">
        <v>2021</v>
      </c>
      <c r="C162" s="10" t="s">
        <v>57</v>
      </c>
      <c r="D162" s="11" t="s">
        <v>67</v>
      </c>
      <c r="E162" s="12">
        <v>905.96</v>
      </c>
    </row>
    <row r="163" spans="1:5" x14ac:dyDescent="0.3">
      <c r="A163" s="10" t="s">
        <v>69</v>
      </c>
      <c r="B163" s="10">
        <v>2022</v>
      </c>
      <c r="C163" s="10" t="s">
        <v>57</v>
      </c>
      <c r="D163" s="11" t="s">
        <v>67</v>
      </c>
      <c r="E163" s="12">
        <v>942.24</v>
      </c>
    </row>
    <row r="164" spans="1:5" x14ac:dyDescent="0.3">
      <c r="A164" s="10" t="s">
        <v>69</v>
      </c>
      <c r="B164" s="10">
        <v>2023</v>
      </c>
      <c r="C164" s="10" t="s">
        <v>57</v>
      </c>
      <c r="D164" s="11" t="s">
        <v>67</v>
      </c>
      <c r="E164" s="12">
        <v>986.58</v>
      </c>
    </row>
    <row r="165" spans="1:5" x14ac:dyDescent="0.3">
      <c r="A165" s="10" t="s">
        <v>69</v>
      </c>
      <c r="B165" s="10">
        <v>2024</v>
      </c>
      <c r="C165" s="10" t="s">
        <v>57</v>
      </c>
      <c r="D165" s="11" t="s">
        <v>67</v>
      </c>
      <c r="E165" s="12">
        <v>1022.1</v>
      </c>
    </row>
    <row r="166" spans="1:5" x14ac:dyDescent="0.3">
      <c r="A166" s="10" t="s">
        <v>69</v>
      </c>
      <c r="B166" s="10">
        <v>2025</v>
      </c>
      <c r="C166" s="10" t="s">
        <v>57</v>
      </c>
      <c r="D166" s="11" t="s">
        <v>67</v>
      </c>
      <c r="E166" s="12">
        <v>1115.8800000000001</v>
      </c>
    </row>
    <row r="167" spans="1:5" x14ac:dyDescent="0.3">
      <c r="A167" s="10" t="s">
        <v>69</v>
      </c>
      <c r="B167" s="10">
        <v>2021</v>
      </c>
      <c r="C167" s="10" t="s">
        <v>57</v>
      </c>
      <c r="D167" s="11" t="s">
        <v>68</v>
      </c>
      <c r="E167" s="12">
        <v>463.98</v>
      </c>
    </row>
    <row r="168" spans="1:5" x14ac:dyDescent="0.3">
      <c r="A168" s="10" t="s">
        <v>69</v>
      </c>
      <c r="B168" s="10">
        <v>2022</v>
      </c>
      <c r="C168" s="10" t="s">
        <v>57</v>
      </c>
      <c r="D168" s="11" t="s">
        <v>68</v>
      </c>
      <c r="E168" s="12">
        <v>545.54999999999995</v>
      </c>
    </row>
    <row r="169" spans="1:5" x14ac:dyDescent="0.3">
      <c r="A169" s="10" t="s">
        <v>69</v>
      </c>
      <c r="B169" s="10">
        <v>2023</v>
      </c>
      <c r="C169" s="10" t="s">
        <v>57</v>
      </c>
      <c r="D169" s="11" t="s">
        <v>68</v>
      </c>
      <c r="E169" s="12">
        <v>611.15</v>
      </c>
    </row>
    <row r="170" spans="1:5" x14ac:dyDescent="0.3">
      <c r="A170" s="10" t="s">
        <v>69</v>
      </c>
      <c r="B170" s="10">
        <v>2024</v>
      </c>
      <c r="C170" s="10" t="s">
        <v>57</v>
      </c>
      <c r="D170" s="11" t="s">
        <v>68</v>
      </c>
      <c r="E170" s="12">
        <v>674.81</v>
      </c>
    </row>
    <row r="171" spans="1:5" x14ac:dyDescent="0.3">
      <c r="A171" s="10" t="s">
        <v>69</v>
      </c>
      <c r="B171" s="10">
        <v>2025</v>
      </c>
      <c r="C171" s="10" t="s">
        <v>57</v>
      </c>
      <c r="D171" s="11" t="s">
        <v>68</v>
      </c>
      <c r="E171" s="12">
        <v>756.96</v>
      </c>
    </row>
    <row r="172" spans="1:5" x14ac:dyDescent="0.3">
      <c r="A172" s="10" t="s">
        <v>70</v>
      </c>
      <c r="B172" s="10">
        <v>2021</v>
      </c>
      <c r="C172" s="10" t="s">
        <v>49</v>
      </c>
      <c r="D172" s="11" t="s">
        <v>50</v>
      </c>
      <c r="E172" s="12">
        <v>1928.38</v>
      </c>
    </row>
    <row r="173" spans="1:5" x14ac:dyDescent="0.3">
      <c r="A173" s="10" t="s">
        <v>70</v>
      </c>
      <c r="B173" s="10">
        <v>2022</v>
      </c>
      <c r="C173" s="10" t="s">
        <v>49</v>
      </c>
      <c r="D173" s="11" t="s">
        <v>50</v>
      </c>
      <c r="E173" s="12">
        <v>2035.01</v>
      </c>
    </row>
    <row r="174" spans="1:5" x14ac:dyDescent="0.3">
      <c r="A174" s="10" t="s">
        <v>70</v>
      </c>
      <c r="B174" s="10">
        <v>2023</v>
      </c>
      <c r="C174" s="10" t="s">
        <v>49</v>
      </c>
      <c r="D174" s="11" t="s">
        <v>50</v>
      </c>
      <c r="E174" s="12">
        <v>2159.46</v>
      </c>
    </row>
    <row r="175" spans="1:5" x14ac:dyDescent="0.3">
      <c r="A175" s="10" t="s">
        <v>70</v>
      </c>
      <c r="B175" s="10">
        <v>2024</v>
      </c>
      <c r="C175" s="10" t="s">
        <v>49</v>
      </c>
      <c r="D175" s="11" t="s">
        <v>50</v>
      </c>
      <c r="E175" s="12">
        <v>2305.08</v>
      </c>
    </row>
    <row r="176" spans="1:5" x14ac:dyDescent="0.3">
      <c r="A176" s="10" t="s">
        <v>70</v>
      </c>
      <c r="B176" s="10">
        <v>2025</v>
      </c>
      <c r="C176" s="10" t="s">
        <v>49</v>
      </c>
      <c r="D176" s="11" t="s">
        <v>50</v>
      </c>
      <c r="E176" s="12">
        <v>2474.8000000000002</v>
      </c>
    </row>
    <row r="177" spans="1:5" x14ac:dyDescent="0.3">
      <c r="A177" s="10" t="s">
        <v>70</v>
      </c>
      <c r="B177" s="10">
        <v>2021</v>
      </c>
      <c r="C177" s="10" t="s">
        <v>49</v>
      </c>
      <c r="D177" s="11" t="s">
        <v>51</v>
      </c>
      <c r="E177" s="12">
        <v>125.21</v>
      </c>
    </row>
    <row r="178" spans="1:5" x14ac:dyDescent="0.3">
      <c r="A178" s="10" t="s">
        <v>70</v>
      </c>
      <c r="B178" s="10">
        <v>2022</v>
      </c>
      <c r="C178" s="10" t="s">
        <v>49</v>
      </c>
      <c r="D178" s="11" t="s">
        <v>51</v>
      </c>
      <c r="E178" s="12">
        <v>131.51</v>
      </c>
    </row>
    <row r="179" spans="1:5" x14ac:dyDescent="0.3">
      <c r="A179" s="10" t="s">
        <v>70</v>
      </c>
      <c r="B179" s="10">
        <v>2023</v>
      </c>
      <c r="C179" s="10" t="s">
        <v>49</v>
      </c>
      <c r="D179" s="11" t="s">
        <v>51</v>
      </c>
      <c r="E179" s="12">
        <v>139.86000000000001</v>
      </c>
    </row>
    <row r="180" spans="1:5" x14ac:dyDescent="0.3">
      <c r="A180" s="10" t="s">
        <v>70</v>
      </c>
      <c r="B180" s="10">
        <v>2024</v>
      </c>
      <c r="C180" s="10" t="s">
        <v>49</v>
      </c>
      <c r="D180" s="11" t="s">
        <v>51</v>
      </c>
      <c r="E180" s="12">
        <v>141.07</v>
      </c>
    </row>
    <row r="181" spans="1:5" x14ac:dyDescent="0.3">
      <c r="A181" s="10" t="s">
        <v>70</v>
      </c>
      <c r="B181" s="10">
        <v>2025</v>
      </c>
      <c r="C181" s="10" t="s">
        <v>49</v>
      </c>
      <c r="D181" s="11" t="s">
        <v>51</v>
      </c>
      <c r="E181" s="12">
        <v>147.61000000000001</v>
      </c>
    </row>
    <row r="182" spans="1:5" x14ac:dyDescent="0.3">
      <c r="A182" s="10" t="s">
        <v>70</v>
      </c>
      <c r="B182" s="10">
        <v>2021</v>
      </c>
      <c r="C182" s="10" t="s">
        <v>52</v>
      </c>
      <c r="D182" s="11" t="s">
        <v>53</v>
      </c>
      <c r="E182" s="12">
        <v>603.79999999999995</v>
      </c>
    </row>
    <row r="183" spans="1:5" x14ac:dyDescent="0.3">
      <c r="A183" s="10" t="s">
        <v>70</v>
      </c>
      <c r="B183" s="10">
        <v>2022</v>
      </c>
      <c r="C183" s="10" t="s">
        <v>52</v>
      </c>
      <c r="D183" s="11" t="s">
        <v>53</v>
      </c>
      <c r="E183" s="12">
        <v>641.51</v>
      </c>
    </row>
    <row r="184" spans="1:5" x14ac:dyDescent="0.3">
      <c r="A184" s="10" t="s">
        <v>70</v>
      </c>
      <c r="B184" s="10">
        <v>2023</v>
      </c>
      <c r="C184" s="10" t="s">
        <v>52</v>
      </c>
      <c r="D184" s="11" t="s">
        <v>53</v>
      </c>
      <c r="E184" s="12">
        <v>681.84</v>
      </c>
    </row>
    <row r="185" spans="1:5" x14ac:dyDescent="0.3">
      <c r="A185" s="10" t="s">
        <v>70</v>
      </c>
      <c r="B185" s="10">
        <v>2024</v>
      </c>
      <c r="C185" s="10" t="s">
        <v>52</v>
      </c>
      <c r="D185" s="11" t="s">
        <v>53</v>
      </c>
      <c r="E185" s="12">
        <v>706.34</v>
      </c>
    </row>
    <row r="186" spans="1:5" x14ac:dyDescent="0.3">
      <c r="A186" s="10" t="s">
        <v>70</v>
      </c>
      <c r="B186" s="10">
        <v>2025</v>
      </c>
      <c r="C186" s="10" t="s">
        <v>52</v>
      </c>
      <c r="D186" s="11" t="s">
        <v>53</v>
      </c>
      <c r="E186" s="12">
        <v>732.7</v>
      </c>
    </row>
    <row r="187" spans="1:5" x14ac:dyDescent="0.3">
      <c r="A187" s="10" t="s">
        <v>70</v>
      </c>
      <c r="B187" s="10">
        <v>2021</v>
      </c>
      <c r="C187" s="10" t="s">
        <v>52</v>
      </c>
      <c r="D187" s="11" t="s">
        <v>54</v>
      </c>
      <c r="E187" s="12">
        <v>2.88</v>
      </c>
    </row>
    <row r="188" spans="1:5" x14ac:dyDescent="0.3">
      <c r="A188" s="10" t="s">
        <v>70</v>
      </c>
      <c r="B188" s="10">
        <v>2022</v>
      </c>
      <c r="C188" s="10" t="s">
        <v>52</v>
      </c>
      <c r="D188" s="11" t="s">
        <v>54</v>
      </c>
      <c r="E188" s="12">
        <v>3.06</v>
      </c>
    </row>
    <row r="189" spans="1:5" x14ac:dyDescent="0.3">
      <c r="A189" s="10" t="s">
        <v>70</v>
      </c>
      <c r="B189" s="10">
        <v>2023</v>
      </c>
      <c r="C189" s="10" t="s">
        <v>52</v>
      </c>
      <c r="D189" s="11" t="s">
        <v>54</v>
      </c>
      <c r="E189" s="12">
        <v>3.48</v>
      </c>
    </row>
    <row r="190" spans="1:5" x14ac:dyDescent="0.3">
      <c r="A190" s="10" t="s">
        <v>70</v>
      </c>
      <c r="B190" s="10">
        <v>2024</v>
      </c>
      <c r="C190" s="10" t="s">
        <v>52</v>
      </c>
      <c r="D190" s="11" t="s">
        <v>54</v>
      </c>
      <c r="E190" s="12">
        <v>3.64</v>
      </c>
    </row>
    <row r="191" spans="1:5" x14ac:dyDescent="0.3">
      <c r="A191" s="10" t="s">
        <v>70</v>
      </c>
      <c r="B191" s="10">
        <v>2025</v>
      </c>
      <c r="C191" s="10" t="s">
        <v>52</v>
      </c>
      <c r="D191" s="11" t="s">
        <v>54</v>
      </c>
      <c r="E191" s="12">
        <v>3.99</v>
      </c>
    </row>
    <row r="192" spans="1:5" x14ac:dyDescent="0.3">
      <c r="A192" s="10" t="s">
        <v>70</v>
      </c>
      <c r="B192" s="10">
        <v>2021</v>
      </c>
      <c r="C192" s="10" t="s">
        <v>52</v>
      </c>
      <c r="D192" s="11" t="s">
        <v>55</v>
      </c>
      <c r="E192" s="12">
        <v>4.7300000000000004</v>
      </c>
    </row>
    <row r="193" spans="1:5" x14ac:dyDescent="0.3">
      <c r="A193" s="10" t="s">
        <v>70</v>
      </c>
      <c r="B193" s="10">
        <v>2022</v>
      </c>
      <c r="C193" s="10" t="s">
        <v>52</v>
      </c>
      <c r="D193" s="11" t="s">
        <v>55</v>
      </c>
      <c r="E193" s="12">
        <v>4.7699999999999996</v>
      </c>
    </row>
    <row r="194" spans="1:5" x14ac:dyDescent="0.3">
      <c r="A194" s="10" t="s">
        <v>70</v>
      </c>
      <c r="B194" s="10">
        <v>2023</v>
      </c>
      <c r="C194" s="10" t="s">
        <v>52</v>
      </c>
      <c r="D194" s="11" t="s">
        <v>55</v>
      </c>
      <c r="E194" s="12">
        <v>4.88</v>
      </c>
    </row>
    <row r="195" spans="1:5" x14ac:dyDescent="0.3">
      <c r="A195" s="10" t="s">
        <v>70</v>
      </c>
      <c r="B195" s="10">
        <v>2024</v>
      </c>
      <c r="C195" s="10" t="s">
        <v>52</v>
      </c>
      <c r="D195" s="11" t="s">
        <v>55</v>
      </c>
      <c r="E195" s="12">
        <v>4.9000000000000004</v>
      </c>
    </row>
    <row r="196" spans="1:5" x14ac:dyDescent="0.3">
      <c r="A196" s="10" t="s">
        <v>70</v>
      </c>
      <c r="B196" s="10">
        <v>2025</v>
      </c>
      <c r="C196" s="10" t="s">
        <v>52</v>
      </c>
      <c r="D196" s="11" t="s">
        <v>55</v>
      </c>
      <c r="E196" s="12">
        <v>5.23</v>
      </c>
    </row>
    <row r="197" spans="1:5" x14ac:dyDescent="0.3">
      <c r="A197" s="10" t="s">
        <v>70</v>
      </c>
      <c r="B197" s="10">
        <v>2021</v>
      </c>
      <c r="C197" s="10" t="s">
        <v>52</v>
      </c>
      <c r="D197" s="11" t="s">
        <v>56</v>
      </c>
      <c r="E197" s="12">
        <v>613.1</v>
      </c>
    </row>
    <row r="198" spans="1:5" x14ac:dyDescent="0.3">
      <c r="A198" s="10" t="s">
        <v>70</v>
      </c>
      <c r="B198" s="10">
        <v>2022</v>
      </c>
      <c r="C198" s="10" t="s">
        <v>52</v>
      </c>
      <c r="D198" s="11" t="s">
        <v>56</v>
      </c>
      <c r="E198" s="12">
        <v>654.65</v>
      </c>
    </row>
    <row r="199" spans="1:5" x14ac:dyDescent="0.3">
      <c r="A199" s="10" t="s">
        <v>70</v>
      </c>
      <c r="B199" s="10">
        <v>2023</v>
      </c>
      <c r="C199" s="10" t="s">
        <v>52</v>
      </c>
      <c r="D199" s="11" t="s">
        <v>56</v>
      </c>
      <c r="E199" s="12">
        <v>675.51</v>
      </c>
    </row>
    <row r="200" spans="1:5" x14ac:dyDescent="0.3">
      <c r="A200" s="10" t="s">
        <v>70</v>
      </c>
      <c r="B200" s="10">
        <v>2024</v>
      </c>
      <c r="C200" s="10" t="s">
        <v>52</v>
      </c>
      <c r="D200" s="11" t="s">
        <v>56</v>
      </c>
      <c r="E200" s="12">
        <v>685.42</v>
      </c>
    </row>
    <row r="201" spans="1:5" x14ac:dyDescent="0.3">
      <c r="A201" s="10" t="s">
        <v>70</v>
      </c>
      <c r="B201" s="10">
        <v>2025</v>
      </c>
      <c r="C201" s="10" t="s">
        <v>52</v>
      </c>
      <c r="D201" s="11" t="s">
        <v>56</v>
      </c>
      <c r="E201" s="12">
        <v>724.13</v>
      </c>
    </row>
    <row r="202" spans="1:5" x14ac:dyDescent="0.3">
      <c r="A202" s="10" t="s">
        <v>70</v>
      </c>
      <c r="B202" s="10">
        <v>2021</v>
      </c>
      <c r="C202" s="10" t="s">
        <v>57</v>
      </c>
      <c r="D202" s="11" t="s">
        <v>58</v>
      </c>
      <c r="E202" s="12">
        <v>672.88</v>
      </c>
    </row>
    <row r="203" spans="1:5" x14ac:dyDescent="0.3">
      <c r="A203" s="10" t="s">
        <v>70</v>
      </c>
      <c r="B203" s="10">
        <v>2022</v>
      </c>
      <c r="C203" s="10" t="s">
        <v>57</v>
      </c>
      <c r="D203" s="11" t="s">
        <v>58</v>
      </c>
      <c r="E203" s="12">
        <v>738.88</v>
      </c>
    </row>
    <row r="204" spans="1:5" x14ac:dyDescent="0.3">
      <c r="A204" s="10" t="s">
        <v>70</v>
      </c>
      <c r="B204" s="10">
        <v>2023</v>
      </c>
      <c r="C204" s="10" t="s">
        <v>57</v>
      </c>
      <c r="D204" s="11" t="s">
        <v>58</v>
      </c>
      <c r="E204" s="12">
        <v>807.99</v>
      </c>
    </row>
    <row r="205" spans="1:5" x14ac:dyDescent="0.3">
      <c r="A205" s="10" t="s">
        <v>70</v>
      </c>
      <c r="B205" s="10">
        <v>2024</v>
      </c>
      <c r="C205" s="10" t="s">
        <v>57</v>
      </c>
      <c r="D205" s="11" t="s">
        <v>58</v>
      </c>
      <c r="E205" s="12">
        <v>831.32</v>
      </c>
    </row>
    <row r="206" spans="1:5" x14ac:dyDescent="0.3">
      <c r="A206" s="10" t="s">
        <v>70</v>
      </c>
      <c r="B206" s="10">
        <v>2025</v>
      </c>
      <c r="C206" s="10" t="s">
        <v>57</v>
      </c>
      <c r="D206" s="11" t="s">
        <v>58</v>
      </c>
      <c r="E206" s="12">
        <v>908.82</v>
      </c>
    </row>
    <row r="207" spans="1:5" x14ac:dyDescent="0.3">
      <c r="A207" s="10" t="s">
        <v>70</v>
      </c>
      <c r="B207" s="10">
        <v>2021</v>
      </c>
      <c r="C207" s="10" t="s">
        <v>57</v>
      </c>
      <c r="D207" s="11" t="s">
        <v>59</v>
      </c>
      <c r="E207" s="12">
        <v>72.459999999999994</v>
      </c>
    </row>
    <row r="208" spans="1:5" x14ac:dyDescent="0.3">
      <c r="A208" s="10" t="s">
        <v>70</v>
      </c>
      <c r="B208" s="10">
        <v>2022</v>
      </c>
      <c r="C208" s="10" t="s">
        <v>57</v>
      </c>
      <c r="D208" s="11" t="s">
        <v>59</v>
      </c>
      <c r="E208" s="12">
        <v>79.73</v>
      </c>
    </row>
    <row r="209" spans="1:5" x14ac:dyDescent="0.3">
      <c r="A209" s="10" t="s">
        <v>70</v>
      </c>
      <c r="B209" s="10">
        <v>2023</v>
      </c>
      <c r="C209" s="10" t="s">
        <v>57</v>
      </c>
      <c r="D209" s="11" t="s">
        <v>59</v>
      </c>
      <c r="E209" s="12">
        <v>89.15</v>
      </c>
    </row>
    <row r="210" spans="1:5" x14ac:dyDescent="0.3">
      <c r="A210" s="10" t="s">
        <v>70</v>
      </c>
      <c r="B210" s="10">
        <v>2024</v>
      </c>
      <c r="C210" s="10" t="s">
        <v>57</v>
      </c>
      <c r="D210" s="11" t="s">
        <v>59</v>
      </c>
      <c r="E210" s="12">
        <v>97.25</v>
      </c>
    </row>
    <row r="211" spans="1:5" x14ac:dyDescent="0.3">
      <c r="A211" s="10" t="s">
        <v>70</v>
      </c>
      <c r="B211" s="10">
        <v>2025</v>
      </c>
      <c r="C211" s="10" t="s">
        <v>57</v>
      </c>
      <c r="D211" s="11" t="s">
        <v>59</v>
      </c>
      <c r="E211" s="12">
        <v>99.5</v>
      </c>
    </row>
    <row r="212" spans="1:5" x14ac:dyDescent="0.3">
      <c r="A212" s="10" t="s">
        <v>70</v>
      </c>
      <c r="B212" s="10">
        <v>2021</v>
      </c>
      <c r="C212" s="10" t="s">
        <v>57</v>
      </c>
      <c r="D212" s="11" t="s">
        <v>60</v>
      </c>
      <c r="E212" s="12">
        <v>704.73</v>
      </c>
    </row>
    <row r="213" spans="1:5" x14ac:dyDescent="0.3">
      <c r="A213" s="10" t="s">
        <v>70</v>
      </c>
      <c r="B213" s="10">
        <v>2022</v>
      </c>
      <c r="C213" s="10" t="s">
        <v>57</v>
      </c>
      <c r="D213" s="11" t="s">
        <v>60</v>
      </c>
      <c r="E213" s="12">
        <v>821.6</v>
      </c>
    </row>
    <row r="214" spans="1:5" x14ac:dyDescent="0.3">
      <c r="A214" s="10" t="s">
        <v>70</v>
      </c>
      <c r="B214" s="10">
        <v>2023</v>
      </c>
      <c r="C214" s="10" t="s">
        <v>57</v>
      </c>
      <c r="D214" s="11" t="s">
        <v>60</v>
      </c>
      <c r="E214" s="12">
        <v>964.65</v>
      </c>
    </row>
    <row r="215" spans="1:5" x14ac:dyDescent="0.3">
      <c r="A215" s="10" t="s">
        <v>70</v>
      </c>
      <c r="B215" s="10">
        <v>2024</v>
      </c>
      <c r="C215" s="10" t="s">
        <v>57</v>
      </c>
      <c r="D215" s="11" t="s">
        <v>60</v>
      </c>
      <c r="E215" s="12">
        <v>1138.98</v>
      </c>
    </row>
    <row r="216" spans="1:5" x14ac:dyDescent="0.3">
      <c r="A216" s="10" t="s">
        <v>70</v>
      </c>
      <c r="B216" s="10">
        <v>2025</v>
      </c>
      <c r="C216" s="10" t="s">
        <v>57</v>
      </c>
      <c r="D216" s="11" t="s">
        <v>60</v>
      </c>
      <c r="E216" s="12">
        <v>1303.07</v>
      </c>
    </row>
    <row r="217" spans="1:5" x14ac:dyDescent="0.3">
      <c r="A217" s="10" t="s">
        <v>70</v>
      </c>
      <c r="B217" s="10">
        <v>2021</v>
      </c>
      <c r="C217" s="10" t="s">
        <v>57</v>
      </c>
      <c r="D217" s="11" t="s">
        <v>61</v>
      </c>
      <c r="E217" s="12">
        <v>329.75</v>
      </c>
    </row>
    <row r="218" spans="1:5" x14ac:dyDescent="0.3">
      <c r="A218" s="10" t="s">
        <v>70</v>
      </c>
      <c r="B218" s="10">
        <v>2022</v>
      </c>
      <c r="C218" s="10" t="s">
        <v>57</v>
      </c>
      <c r="D218" s="11" t="s">
        <v>61</v>
      </c>
      <c r="E218" s="12">
        <v>338.27</v>
      </c>
    </row>
    <row r="219" spans="1:5" x14ac:dyDescent="0.3">
      <c r="A219" s="10" t="s">
        <v>70</v>
      </c>
      <c r="B219" s="10">
        <v>2023</v>
      </c>
      <c r="C219" s="10" t="s">
        <v>57</v>
      </c>
      <c r="D219" s="11" t="s">
        <v>61</v>
      </c>
      <c r="E219" s="12">
        <v>354.24</v>
      </c>
    </row>
    <row r="220" spans="1:5" x14ac:dyDescent="0.3">
      <c r="A220" s="10" t="s">
        <v>70</v>
      </c>
      <c r="B220" s="10">
        <v>2024</v>
      </c>
      <c r="C220" s="10" t="s">
        <v>57</v>
      </c>
      <c r="D220" s="11" t="s">
        <v>61</v>
      </c>
      <c r="E220" s="12">
        <v>374.69</v>
      </c>
    </row>
    <row r="221" spans="1:5" x14ac:dyDescent="0.3">
      <c r="A221" s="10" t="s">
        <v>70</v>
      </c>
      <c r="B221" s="10">
        <v>2025</v>
      </c>
      <c r="C221" s="10" t="s">
        <v>57</v>
      </c>
      <c r="D221" s="11" t="s">
        <v>61</v>
      </c>
      <c r="E221" s="12">
        <v>388.93</v>
      </c>
    </row>
    <row r="222" spans="1:5" x14ac:dyDescent="0.3">
      <c r="A222" s="10" t="s">
        <v>70</v>
      </c>
      <c r="B222" s="10">
        <v>2021</v>
      </c>
      <c r="C222" s="10" t="s">
        <v>57</v>
      </c>
      <c r="D222" s="11" t="s">
        <v>62</v>
      </c>
      <c r="E222" s="12">
        <v>189.42</v>
      </c>
    </row>
    <row r="223" spans="1:5" x14ac:dyDescent="0.3">
      <c r="A223" s="10" t="s">
        <v>70</v>
      </c>
      <c r="B223" s="10">
        <v>2022</v>
      </c>
      <c r="C223" s="10" t="s">
        <v>57</v>
      </c>
      <c r="D223" s="11" t="s">
        <v>62</v>
      </c>
      <c r="E223" s="12">
        <v>222.15</v>
      </c>
    </row>
    <row r="224" spans="1:5" x14ac:dyDescent="0.3">
      <c r="A224" s="10" t="s">
        <v>70</v>
      </c>
      <c r="B224" s="10">
        <v>2023</v>
      </c>
      <c r="C224" s="10" t="s">
        <v>57</v>
      </c>
      <c r="D224" s="11" t="s">
        <v>62</v>
      </c>
      <c r="E224" s="12">
        <v>257.97000000000003</v>
      </c>
    </row>
    <row r="225" spans="1:5" x14ac:dyDescent="0.3">
      <c r="A225" s="10" t="s">
        <v>70</v>
      </c>
      <c r="B225" s="10">
        <v>2024</v>
      </c>
      <c r="C225" s="10" t="s">
        <v>57</v>
      </c>
      <c r="D225" s="11" t="s">
        <v>62</v>
      </c>
      <c r="E225" s="12">
        <v>298.91000000000003</v>
      </c>
    </row>
    <row r="226" spans="1:5" x14ac:dyDescent="0.3">
      <c r="A226" s="10" t="s">
        <v>70</v>
      </c>
      <c r="B226" s="10">
        <v>2025</v>
      </c>
      <c r="C226" s="10" t="s">
        <v>57</v>
      </c>
      <c r="D226" s="11" t="s">
        <v>62</v>
      </c>
      <c r="E226" s="12">
        <v>314.38</v>
      </c>
    </row>
    <row r="227" spans="1:5" x14ac:dyDescent="0.3">
      <c r="A227" s="10" t="s">
        <v>70</v>
      </c>
      <c r="B227" s="10">
        <v>2021</v>
      </c>
      <c r="C227" s="10" t="s">
        <v>57</v>
      </c>
      <c r="D227" s="11" t="s">
        <v>63</v>
      </c>
      <c r="E227" s="12">
        <v>220.63</v>
      </c>
    </row>
    <row r="228" spans="1:5" x14ac:dyDescent="0.3">
      <c r="A228" s="10" t="s">
        <v>70</v>
      </c>
      <c r="B228" s="10">
        <v>2022</v>
      </c>
      <c r="C228" s="10" t="s">
        <v>57</v>
      </c>
      <c r="D228" s="11" t="s">
        <v>63</v>
      </c>
      <c r="E228" s="12">
        <v>232.4</v>
      </c>
    </row>
    <row r="229" spans="1:5" x14ac:dyDescent="0.3">
      <c r="A229" s="10" t="s">
        <v>70</v>
      </c>
      <c r="B229" s="10">
        <v>2023</v>
      </c>
      <c r="C229" s="10" t="s">
        <v>57</v>
      </c>
      <c r="D229" s="11" t="s">
        <v>63</v>
      </c>
      <c r="E229" s="12">
        <v>241.14</v>
      </c>
    </row>
    <row r="230" spans="1:5" x14ac:dyDescent="0.3">
      <c r="A230" s="10" t="s">
        <v>70</v>
      </c>
      <c r="B230" s="10">
        <v>2024</v>
      </c>
      <c r="C230" s="10" t="s">
        <v>57</v>
      </c>
      <c r="D230" s="11" t="s">
        <v>63</v>
      </c>
      <c r="E230" s="12">
        <v>247.72</v>
      </c>
    </row>
    <row r="231" spans="1:5" x14ac:dyDescent="0.3">
      <c r="A231" s="10" t="s">
        <v>70</v>
      </c>
      <c r="B231" s="10">
        <v>2025</v>
      </c>
      <c r="C231" s="10" t="s">
        <v>57</v>
      </c>
      <c r="D231" s="11" t="s">
        <v>63</v>
      </c>
      <c r="E231" s="12">
        <v>259.7</v>
      </c>
    </row>
    <row r="232" spans="1:5" x14ac:dyDescent="0.3">
      <c r="A232" s="10" t="s">
        <v>70</v>
      </c>
      <c r="B232" s="10">
        <v>2021</v>
      </c>
      <c r="C232" s="10" t="s">
        <v>57</v>
      </c>
      <c r="D232" s="11" t="s">
        <v>64</v>
      </c>
      <c r="E232" s="12">
        <v>36.89</v>
      </c>
    </row>
    <row r="233" spans="1:5" x14ac:dyDescent="0.3">
      <c r="A233" s="10" t="s">
        <v>70</v>
      </c>
      <c r="B233" s="10">
        <v>2022</v>
      </c>
      <c r="C233" s="10" t="s">
        <v>57</v>
      </c>
      <c r="D233" s="11" t="s">
        <v>64</v>
      </c>
      <c r="E233" s="12">
        <v>40.36</v>
      </c>
    </row>
    <row r="234" spans="1:5" x14ac:dyDescent="0.3">
      <c r="A234" s="10" t="s">
        <v>70</v>
      </c>
      <c r="B234" s="10">
        <v>2023</v>
      </c>
      <c r="C234" s="10" t="s">
        <v>57</v>
      </c>
      <c r="D234" s="11" t="s">
        <v>64</v>
      </c>
      <c r="E234" s="12">
        <v>42.96</v>
      </c>
    </row>
    <row r="235" spans="1:5" x14ac:dyDescent="0.3">
      <c r="A235" s="10" t="s">
        <v>70</v>
      </c>
      <c r="B235" s="10">
        <v>2024</v>
      </c>
      <c r="C235" s="10" t="s">
        <v>57</v>
      </c>
      <c r="D235" s="11" t="s">
        <v>64</v>
      </c>
      <c r="E235" s="12">
        <v>47.96</v>
      </c>
    </row>
    <row r="236" spans="1:5" x14ac:dyDescent="0.3">
      <c r="A236" s="10" t="s">
        <v>70</v>
      </c>
      <c r="B236" s="10">
        <v>2025</v>
      </c>
      <c r="C236" s="10" t="s">
        <v>57</v>
      </c>
      <c r="D236" s="11" t="s">
        <v>64</v>
      </c>
      <c r="E236" s="12">
        <v>53.28</v>
      </c>
    </row>
    <row r="237" spans="1:5" x14ac:dyDescent="0.3">
      <c r="A237" s="10" t="s">
        <v>70</v>
      </c>
      <c r="B237" s="10">
        <v>2021</v>
      </c>
      <c r="C237" s="10" t="s">
        <v>57</v>
      </c>
      <c r="D237" s="11" t="s">
        <v>65</v>
      </c>
      <c r="E237" s="12">
        <v>811.02</v>
      </c>
    </row>
    <row r="238" spans="1:5" x14ac:dyDescent="0.3">
      <c r="A238" s="10" t="s">
        <v>70</v>
      </c>
      <c r="B238" s="10">
        <v>2022</v>
      </c>
      <c r="C238" s="10" t="s">
        <v>57</v>
      </c>
      <c r="D238" s="11" t="s">
        <v>65</v>
      </c>
      <c r="E238" s="12">
        <v>843.31</v>
      </c>
    </row>
    <row r="239" spans="1:5" x14ac:dyDescent="0.3">
      <c r="A239" s="10" t="s">
        <v>70</v>
      </c>
      <c r="B239" s="10">
        <v>2023</v>
      </c>
      <c r="C239" s="10" t="s">
        <v>57</v>
      </c>
      <c r="D239" s="11" t="s">
        <v>65</v>
      </c>
      <c r="E239" s="12">
        <v>895.26</v>
      </c>
    </row>
    <row r="240" spans="1:5" x14ac:dyDescent="0.3">
      <c r="A240" s="10" t="s">
        <v>70</v>
      </c>
      <c r="B240" s="10">
        <v>2024</v>
      </c>
      <c r="C240" s="10" t="s">
        <v>57</v>
      </c>
      <c r="D240" s="11" t="s">
        <v>65</v>
      </c>
      <c r="E240" s="12">
        <v>956.3</v>
      </c>
    </row>
    <row r="241" spans="1:5" x14ac:dyDescent="0.3">
      <c r="A241" s="10" t="s">
        <v>70</v>
      </c>
      <c r="B241" s="10">
        <v>2025</v>
      </c>
      <c r="C241" s="10" t="s">
        <v>57</v>
      </c>
      <c r="D241" s="11" t="s">
        <v>65</v>
      </c>
      <c r="E241" s="12">
        <v>1050.07</v>
      </c>
    </row>
    <row r="242" spans="1:5" x14ac:dyDescent="0.3">
      <c r="A242" s="10" t="s">
        <v>70</v>
      </c>
      <c r="B242" s="10">
        <v>2021</v>
      </c>
      <c r="C242" s="10" t="s">
        <v>57</v>
      </c>
      <c r="D242" s="11" t="s">
        <v>66</v>
      </c>
      <c r="E242" s="12">
        <v>177.02</v>
      </c>
    </row>
    <row r="243" spans="1:5" x14ac:dyDescent="0.3">
      <c r="A243" s="10" t="s">
        <v>70</v>
      </c>
      <c r="B243" s="10">
        <v>2022</v>
      </c>
      <c r="C243" s="10" t="s">
        <v>57</v>
      </c>
      <c r="D243" s="11" t="s">
        <v>66</v>
      </c>
      <c r="E243" s="12">
        <v>179.63</v>
      </c>
    </row>
    <row r="244" spans="1:5" x14ac:dyDescent="0.3">
      <c r="A244" s="10" t="s">
        <v>70</v>
      </c>
      <c r="B244" s="10">
        <v>2023</v>
      </c>
      <c r="C244" s="10" t="s">
        <v>57</v>
      </c>
      <c r="D244" s="11" t="s">
        <v>66</v>
      </c>
      <c r="E244" s="12">
        <v>181.36</v>
      </c>
    </row>
    <row r="245" spans="1:5" x14ac:dyDescent="0.3">
      <c r="A245" s="10" t="s">
        <v>70</v>
      </c>
      <c r="B245" s="10">
        <v>2024</v>
      </c>
      <c r="C245" s="10" t="s">
        <v>57</v>
      </c>
      <c r="D245" s="11" t="s">
        <v>66</v>
      </c>
      <c r="E245" s="12">
        <v>186.77</v>
      </c>
    </row>
    <row r="246" spans="1:5" x14ac:dyDescent="0.3">
      <c r="A246" s="10" t="s">
        <v>70</v>
      </c>
      <c r="B246" s="10">
        <v>2025</v>
      </c>
      <c r="C246" s="10" t="s">
        <v>57</v>
      </c>
      <c r="D246" s="11" t="s">
        <v>66</v>
      </c>
      <c r="E246" s="12">
        <v>204.53</v>
      </c>
    </row>
    <row r="247" spans="1:5" x14ac:dyDescent="0.3">
      <c r="A247" s="10" t="s">
        <v>70</v>
      </c>
      <c r="B247" s="10">
        <v>2021</v>
      </c>
      <c r="C247" s="10" t="s">
        <v>57</v>
      </c>
      <c r="D247" s="11" t="s">
        <v>67</v>
      </c>
      <c r="E247" s="12">
        <v>113.04</v>
      </c>
    </row>
    <row r="248" spans="1:5" x14ac:dyDescent="0.3">
      <c r="A248" s="10" t="s">
        <v>70</v>
      </c>
      <c r="B248" s="10">
        <v>2022</v>
      </c>
      <c r="C248" s="10" t="s">
        <v>57</v>
      </c>
      <c r="D248" s="11" t="s">
        <v>67</v>
      </c>
      <c r="E248" s="12">
        <v>119.67</v>
      </c>
    </row>
    <row r="249" spans="1:5" x14ac:dyDescent="0.3">
      <c r="A249" s="10" t="s">
        <v>70</v>
      </c>
      <c r="B249" s="10">
        <v>2023</v>
      </c>
      <c r="C249" s="10" t="s">
        <v>57</v>
      </c>
      <c r="D249" s="11" t="s">
        <v>67</v>
      </c>
      <c r="E249" s="12">
        <v>124.99</v>
      </c>
    </row>
    <row r="250" spans="1:5" x14ac:dyDescent="0.3">
      <c r="A250" s="10" t="s">
        <v>70</v>
      </c>
      <c r="B250" s="10">
        <v>2024</v>
      </c>
      <c r="C250" s="10" t="s">
        <v>57</v>
      </c>
      <c r="D250" s="11" t="s">
        <v>67</v>
      </c>
      <c r="E250" s="12">
        <v>130.91999999999999</v>
      </c>
    </row>
    <row r="251" spans="1:5" x14ac:dyDescent="0.3">
      <c r="A251" s="10" t="s">
        <v>70</v>
      </c>
      <c r="B251" s="10">
        <v>2025</v>
      </c>
      <c r="C251" s="10" t="s">
        <v>57</v>
      </c>
      <c r="D251" s="11" t="s">
        <v>67</v>
      </c>
      <c r="E251" s="12">
        <v>139.18</v>
      </c>
    </row>
    <row r="252" spans="1:5" x14ac:dyDescent="0.3">
      <c r="A252" s="10" t="s">
        <v>70</v>
      </c>
      <c r="B252" s="10">
        <v>2021</v>
      </c>
      <c r="C252" s="10" t="s">
        <v>57</v>
      </c>
      <c r="D252" s="11" t="s">
        <v>68</v>
      </c>
      <c r="E252" s="12">
        <v>219.63</v>
      </c>
    </row>
    <row r="253" spans="1:5" x14ac:dyDescent="0.3">
      <c r="A253" s="10" t="s">
        <v>70</v>
      </c>
      <c r="B253" s="10">
        <v>2022</v>
      </c>
      <c r="C253" s="10" t="s">
        <v>57</v>
      </c>
      <c r="D253" s="11" t="s">
        <v>68</v>
      </c>
      <c r="E253" s="12">
        <v>251.49</v>
      </c>
    </row>
    <row r="254" spans="1:5" x14ac:dyDescent="0.3">
      <c r="A254" s="10" t="s">
        <v>70</v>
      </c>
      <c r="B254" s="10">
        <v>2023</v>
      </c>
      <c r="C254" s="10" t="s">
        <v>57</v>
      </c>
      <c r="D254" s="11" t="s">
        <v>68</v>
      </c>
      <c r="E254" s="12">
        <v>283.56</v>
      </c>
    </row>
    <row r="255" spans="1:5" x14ac:dyDescent="0.3">
      <c r="A255" s="10" t="s">
        <v>70</v>
      </c>
      <c r="B255" s="10">
        <v>2024</v>
      </c>
      <c r="C255" s="10" t="s">
        <v>57</v>
      </c>
      <c r="D255" s="11" t="s">
        <v>68</v>
      </c>
      <c r="E255" s="12">
        <v>308.33999999999997</v>
      </c>
    </row>
    <row r="256" spans="1:5" x14ac:dyDescent="0.3">
      <c r="A256" s="10" t="s">
        <v>70</v>
      </c>
      <c r="B256" s="10">
        <v>2025</v>
      </c>
      <c r="C256" s="10" t="s">
        <v>57</v>
      </c>
      <c r="D256" s="11" t="s">
        <v>68</v>
      </c>
      <c r="E256" s="12">
        <v>345.09</v>
      </c>
    </row>
    <row r="257" spans="1:5" x14ac:dyDescent="0.3">
      <c r="A257" s="10" t="s">
        <v>71</v>
      </c>
      <c r="B257" s="10">
        <v>2021</v>
      </c>
      <c r="C257" s="10" t="s">
        <v>49</v>
      </c>
      <c r="D257" s="11" t="s">
        <v>50</v>
      </c>
      <c r="E257" s="12">
        <v>7520.88</v>
      </c>
    </row>
    <row r="258" spans="1:5" x14ac:dyDescent="0.3">
      <c r="A258" s="10" t="s">
        <v>71</v>
      </c>
      <c r="B258" s="10">
        <v>2022</v>
      </c>
      <c r="C258" s="10" t="s">
        <v>49</v>
      </c>
      <c r="D258" s="11" t="s">
        <v>50</v>
      </c>
      <c r="E258" s="12">
        <v>7713.94</v>
      </c>
    </row>
    <row r="259" spans="1:5" x14ac:dyDescent="0.3">
      <c r="A259" s="10" t="s">
        <v>71</v>
      </c>
      <c r="B259" s="10">
        <v>2023</v>
      </c>
      <c r="C259" s="10" t="s">
        <v>49</v>
      </c>
      <c r="D259" s="11" t="s">
        <v>50</v>
      </c>
      <c r="E259" s="12">
        <v>8004.81</v>
      </c>
    </row>
    <row r="260" spans="1:5" x14ac:dyDescent="0.3">
      <c r="A260" s="10" t="s">
        <v>71</v>
      </c>
      <c r="B260" s="10">
        <v>2024</v>
      </c>
      <c r="C260" s="10" t="s">
        <v>49</v>
      </c>
      <c r="D260" s="11" t="s">
        <v>50</v>
      </c>
      <c r="E260" s="12">
        <v>8445.1299999999992</v>
      </c>
    </row>
    <row r="261" spans="1:5" x14ac:dyDescent="0.3">
      <c r="A261" s="10" t="s">
        <v>71</v>
      </c>
      <c r="B261" s="10">
        <v>2025</v>
      </c>
      <c r="C261" s="10" t="s">
        <v>49</v>
      </c>
      <c r="D261" s="11" t="s">
        <v>50</v>
      </c>
      <c r="E261" s="12">
        <v>9027.02</v>
      </c>
    </row>
    <row r="262" spans="1:5" x14ac:dyDescent="0.3">
      <c r="A262" s="10" t="s">
        <v>71</v>
      </c>
      <c r="B262" s="10">
        <v>2021</v>
      </c>
      <c r="C262" s="10" t="s">
        <v>49</v>
      </c>
      <c r="D262" s="11" t="s">
        <v>51</v>
      </c>
      <c r="E262" s="12">
        <v>301.18</v>
      </c>
    </row>
    <row r="263" spans="1:5" x14ac:dyDescent="0.3">
      <c r="A263" s="10" t="s">
        <v>71</v>
      </c>
      <c r="B263" s="10">
        <v>2022</v>
      </c>
      <c r="C263" s="10" t="s">
        <v>49</v>
      </c>
      <c r="D263" s="11" t="s">
        <v>51</v>
      </c>
      <c r="E263" s="12">
        <v>316.02</v>
      </c>
    </row>
    <row r="264" spans="1:5" x14ac:dyDescent="0.3">
      <c r="A264" s="10" t="s">
        <v>71</v>
      </c>
      <c r="B264" s="10">
        <v>2023</v>
      </c>
      <c r="C264" s="10" t="s">
        <v>49</v>
      </c>
      <c r="D264" s="11" t="s">
        <v>51</v>
      </c>
      <c r="E264" s="12">
        <v>327.94</v>
      </c>
    </row>
    <row r="265" spans="1:5" x14ac:dyDescent="0.3">
      <c r="A265" s="10" t="s">
        <v>71</v>
      </c>
      <c r="B265" s="10">
        <v>2024</v>
      </c>
      <c r="C265" s="10" t="s">
        <v>49</v>
      </c>
      <c r="D265" s="11" t="s">
        <v>51</v>
      </c>
      <c r="E265" s="12">
        <v>346.69</v>
      </c>
    </row>
    <row r="266" spans="1:5" x14ac:dyDescent="0.3">
      <c r="A266" s="10" t="s">
        <v>71</v>
      </c>
      <c r="B266" s="10">
        <v>2025</v>
      </c>
      <c r="C266" s="10" t="s">
        <v>49</v>
      </c>
      <c r="D266" s="11" t="s">
        <v>51</v>
      </c>
      <c r="E266" s="12">
        <v>363.27</v>
      </c>
    </row>
    <row r="267" spans="1:5" x14ac:dyDescent="0.3">
      <c r="A267" s="10" t="s">
        <v>71</v>
      </c>
      <c r="B267" s="10">
        <v>2021</v>
      </c>
      <c r="C267" s="10" t="s">
        <v>52</v>
      </c>
      <c r="D267" s="11" t="s">
        <v>53</v>
      </c>
      <c r="E267" s="12">
        <v>2030.75</v>
      </c>
    </row>
    <row r="268" spans="1:5" x14ac:dyDescent="0.3">
      <c r="A268" s="10" t="s">
        <v>71</v>
      </c>
      <c r="B268" s="10">
        <v>2022</v>
      </c>
      <c r="C268" s="10" t="s">
        <v>52</v>
      </c>
      <c r="D268" s="11" t="s">
        <v>53</v>
      </c>
      <c r="E268" s="12">
        <v>2202.42</v>
      </c>
    </row>
    <row r="269" spans="1:5" x14ac:dyDescent="0.3">
      <c r="A269" s="10" t="s">
        <v>71</v>
      </c>
      <c r="B269" s="10">
        <v>2023</v>
      </c>
      <c r="C269" s="10" t="s">
        <v>52</v>
      </c>
      <c r="D269" s="11" t="s">
        <v>53</v>
      </c>
      <c r="E269" s="12">
        <v>2364.12</v>
      </c>
    </row>
    <row r="270" spans="1:5" x14ac:dyDescent="0.3">
      <c r="A270" s="10" t="s">
        <v>71</v>
      </c>
      <c r="B270" s="10">
        <v>2024</v>
      </c>
      <c r="C270" s="10" t="s">
        <v>52</v>
      </c>
      <c r="D270" s="11" t="s">
        <v>53</v>
      </c>
      <c r="E270" s="12">
        <v>2671.66</v>
      </c>
    </row>
    <row r="271" spans="1:5" x14ac:dyDescent="0.3">
      <c r="A271" s="10" t="s">
        <v>71</v>
      </c>
      <c r="B271" s="10">
        <v>2025</v>
      </c>
      <c r="C271" s="10" t="s">
        <v>52</v>
      </c>
      <c r="D271" s="11" t="s">
        <v>53</v>
      </c>
      <c r="E271" s="12">
        <v>2952.35</v>
      </c>
    </row>
    <row r="272" spans="1:5" x14ac:dyDescent="0.3">
      <c r="A272" s="10" t="s">
        <v>71</v>
      </c>
      <c r="B272" s="10">
        <v>2021</v>
      </c>
      <c r="C272" s="10" t="s">
        <v>52</v>
      </c>
      <c r="D272" s="11" t="s">
        <v>54</v>
      </c>
      <c r="E272" s="12">
        <v>55.48</v>
      </c>
    </row>
    <row r="273" spans="1:5" x14ac:dyDescent="0.3">
      <c r="A273" s="10" t="s">
        <v>71</v>
      </c>
      <c r="B273" s="10">
        <v>2022</v>
      </c>
      <c r="C273" s="10" t="s">
        <v>52</v>
      </c>
      <c r="D273" s="11" t="s">
        <v>54</v>
      </c>
      <c r="E273" s="12">
        <v>60.53</v>
      </c>
    </row>
    <row r="274" spans="1:5" x14ac:dyDescent="0.3">
      <c r="A274" s="10" t="s">
        <v>71</v>
      </c>
      <c r="B274" s="10">
        <v>2023</v>
      </c>
      <c r="C274" s="10" t="s">
        <v>52</v>
      </c>
      <c r="D274" s="11" t="s">
        <v>54</v>
      </c>
      <c r="E274" s="12">
        <v>67.510000000000005</v>
      </c>
    </row>
    <row r="275" spans="1:5" x14ac:dyDescent="0.3">
      <c r="A275" s="10" t="s">
        <v>71</v>
      </c>
      <c r="B275" s="10">
        <v>2024</v>
      </c>
      <c r="C275" s="10" t="s">
        <v>52</v>
      </c>
      <c r="D275" s="11" t="s">
        <v>54</v>
      </c>
      <c r="E275" s="12">
        <v>72.17</v>
      </c>
    </row>
    <row r="276" spans="1:5" x14ac:dyDescent="0.3">
      <c r="A276" s="10" t="s">
        <v>71</v>
      </c>
      <c r="B276" s="10">
        <v>2025</v>
      </c>
      <c r="C276" s="10" t="s">
        <v>52</v>
      </c>
      <c r="D276" s="11" t="s">
        <v>54</v>
      </c>
      <c r="E276" s="12">
        <v>77.33</v>
      </c>
    </row>
    <row r="277" spans="1:5" x14ac:dyDescent="0.3">
      <c r="A277" s="10" t="s">
        <v>71</v>
      </c>
      <c r="B277" s="10">
        <v>2021</v>
      </c>
      <c r="C277" s="10" t="s">
        <v>52</v>
      </c>
      <c r="D277" s="11" t="s">
        <v>55</v>
      </c>
      <c r="E277" s="12">
        <v>38.75</v>
      </c>
    </row>
    <row r="278" spans="1:5" x14ac:dyDescent="0.3">
      <c r="A278" s="10" t="s">
        <v>71</v>
      </c>
      <c r="B278" s="10">
        <v>2022</v>
      </c>
      <c r="C278" s="10" t="s">
        <v>52</v>
      </c>
      <c r="D278" s="11" t="s">
        <v>55</v>
      </c>
      <c r="E278" s="12">
        <v>39.270000000000003</v>
      </c>
    </row>
    <row r="279" spans="1:5" x14ac:dyDescent="0.3">
      <c r="A279" s="10" t="s">
        <v>71</v>
      </c>
      <c r="B279" s="10">
        <v>2023</v>
      </c>
      <c r="C279" s="10" t="s">
        <v>52</v>
      </c>
      <c r="D279" s="11" t="s">
        <v>55</v>
      </c>
      <c r="E279" s="12">
        <v>42.91</v>
      </c>
    </row>
    <row r="280" spans="1:5" x14ac:dyDescent="0.3">
      <c r="A280" s="10" t="s">
        <v>71</v>
      </c>
      <c r="B280" s="10">
        <v>2024</v>
      </c>
      <c r="C280" s="10" t="s">
        <v>52</v>
      </c>
      <c r="D280" s="11" t="s">
        <v>55</v>
      </c>
      <c r="E280" s="12">
        <v>42.07</v>
      </c>
    </row>
    <row r="281" spans="1:5" x14ac:dyDescent="0.3">
      <c r="A281" s="10" t="s">
        <v>71</v>
      </c>
      <c r="B281" s="10">
        <v>2025</v>
      </c>
      <c r="C281" s="10" t="s">
        <v>52</v>
      </c>
      <c r="D281" s="11" t="s">
        <v>55</v>
      </c>
      <c r="E281" s="12">
        <v>43.86</v>
      </c>
    </row>
    <row r="282" spans="1:5" x14ac:dyDescent="0.3">
      <c r="A282" s="10" t="s">
        <v>71</v>
      </c>
      <c r="B282" s="10">
        <v>2021</v>
      </c>
      <c r="C282" s="10" t="s">
        <v>52</v>
      </c>
      <c r="D282" s="11" t="s">
        <v>56</v>
      </c>
      <c r="E282" s="12">
        <v>3199.94</v>
      </c>
    </row>
    <row r="283" spans="1:5" x14ac:dyDescent="0.3">
      <c r="A283" s="10" t="s">
        <v>71</v>
      </c>
      <c r="B283" s="10">
        <v>2022</v>
      </c>
      <c r="C283" s="10" t="s">
        <v>52</v>
      </c>
      <c r="D283" s="11" t="s">
        <v>56</v>
      </c>
      <c r="E283" s="12">
        <v>3450.5</v>
      </c>
    </row>
    <row r="284" spans="1:5" x14ac:dyDescent="0.3">
      <c r="A284" s="10" t="s">
        <v>71</v>
      </c>
      <c r="B284" s="10">
        <v>2023</v>
      </c>
      <c r="C284" s="10" t="s">
        <v>52</v>
      </c>
      <c r="D284" s="11" t="s">
        <v>56</v>
      </c>
      <c r="E284" s="12">
        <v>3541.54</v>
      </c>
    </row>
    <row r="285" spans="1:5" x14ac:dyDescent="0.3">
      <c r="A285" s="10" t="s">
        <v>71</v>
      </c>
      <c r="B285" s="10">
        <v>2024</v>
      </c>
      <c r="C285" s="10" t="s">
        <v>52</v>
      </c>
      <c r="D285" s="11" t="s">
        <v>56</v>
      </c>
      <c r="E285" s="12">
        <v>3716.36</v>
      </c>
    </row>
    <row r="286" spans="1:5" x14ac:dyDescent="0.3">
      <c r="A286" s="10" t="s">
        <v>71</v>
      </c>
      <c r="B286" s="10">
        <v>2025</v>
      </c>
      <c r="C286" s="10" t="s">
        <v>52</v>
      </c>
      <c r="D286" s="11" t="s">
        <v>56</v>
      </c>
      <c r="E286" s="12">
        <v>3979.79</v>
      </c>
    </row>
    <row r="287" spans="1:5" x14ac:dyDescent="0.3">
      <c r="A287" s="10" t="s">
        <v>71</v>
      </c>
      <c r="B287" s="10">
        <v>2021</v>
      </c>
      <c r="C287" s="10" t="s">
        <v>57</v>
      </c>
      <c r="D287" s="11" t="s">
        <v>58</v>
      </c>
      <c r="E287" s="12">
        <v>3963.93</v>
      </c>
    </row>
    <row r="288" spans="1:5" x14ac:dyDescent="0.3">
      <c r="A288" s="10" t="s">
        <v>71</v>
      </c>
      <c r="B288" s="10">
        <v>2022</v>
      </c>
      <c r="C288" s="10" t="s">
        <v>57</v>
      </c>
      <c r="D288" s="11" t="s">
        <v>58</v>
      </c>
      <c r="E288" s="12">
        <v>4332.08</v>
      </c>
    </row>
    <row r="289" spans="1:5" x14ac:dyDescent="0.3">
      <c r="A289" s="10" t="s">
        <v>71</v>
      </c>
      <c r="B289" s="10">
        <v>2023</v>
      </c>
      <c r="C289" s="10" t="s">
        <v>57</v>
      </c>
      <c r="D289" s="11" t="s">
        <v>58</v>
      </c>
      <c r="E289" s="12">
        <v>4727.92</v>
      </c>
    </row>
    <row r="290" spans="1:5" x14ac:dyDescent="0.3">
      <c r="A290" s="10" t="s">
        <v>71</v>
      </c>
      <c r="B290" s="10">
        <v>2024</v>
      </c>
      <c r="C290" s="10" t="s">
        <v>57</v>
      </c>
      <c r="D290" s="11" t="s">
        <v>58</v>
      </c>
      <c r="E290" s="12">
        <v>5023.2299999999996</v>
      </c>
    </row>
    <row r="291" spans="1:5" x14ac:dyDescent="0.3">
      <c r="A291" s="10" t="s">
        <v>71</v>
      </c>
      <c r="B291" s="10">
        <v>2025</v>
      </c>
      <c r="C291" s="10" t="s">
        <v>57</v>
      </c>
      <c r="D291" s="11" t="s">
        <v>58</v>
      </c>
      <c r="E291" s="12">
        <v>5552.96</v>
      </c>
    </row>
    <row r="292" spans="1:5" x14ac:dyDescent="0.3">
      <c r="A292" s="10" t="s">
        <v>71</v>
      </c>
      <c r="B292" s="10">
        <v>2021</v>
      </c>
      <c r="C292" s="10" t="s">
        <v>57</v>
      </c>
      <c r="D292" s="11" t="s">
        <v>59</v>
      </c>
      <c r="E292" s="12">
        <v>353.1</v>
      </c>
    </row>
    <row r="293" spans="1:5" x14ac:dyDescent="0.3">
      <c r="A293" s="10" t="s">
        <v>71</v>
      </c>
      <c r="B293" s="10">
        <v>2022</v>
      </c>
      <c r="C293" s="10" t="s">
        <v>57</v>
      </c>
      <c r="D293" s="11" t="s">
        <v>59</v>
      </c>
      <c r="E293" s="12">
        <v>389.63</v>
      </c>
    </row>
    <row r="294" spans="1:5" x14ac:dyDescent="0.3">
      <c r="A294" s="10" t="s">
        <v>71</v>
      </c>
      <c r="B294" s="10">
        <v>2023</v>
      </c>
      <c r="C294" s="10" t="s">
        <v>57</v>
      </c>
      <c r="D294" s="11" t="s">
        <v>59</v>
      </c>
      <c r="E294" s="12">
        <v>454.04</v>
      </c>
    </row>
    <row r="295" spans="1:5" x14ac:dyDescent="0.3">
      <c r="A295" s="10" t="s">
        <v>71</v>
      </c>
      <c r="B295" s="10">
        <v>2024</v>
      </c>
      <c r="C295" s="10" t="s">
        <v>57</v>
      </c>
      <c r="D295" s="11" t="s">
        <v>59</v>
      </c>
      <c r="E295" s="12">
        <v>508.73</v>
      </c>
    </row>
    <row r="296" spans="1:5" x14ac:dyDescent="0.3">
      <c r="A296" s="10" t="s">
        <v>71</v>
      </c>
      <c r="B296" s="10">
        <v>2025</v>
      </c>
      <c r="C296" s="10" t="s">
        <v>57</v>
      </c>
      <c r="D296" s="11" t="s">
        <v>59</v>
      </c>
      <c r="E296" s="12">
        <v>560.65</v>
      </c>
    </row>
    <row r="297" spans="1:5" x14ac:dyDescent="0.3">
      <c r="A297" s="10" t="s">
        <v>71</v>
      </c>
      <c r="B297" s="10">
        <v>2021</v>
      </c>
      <c r="C297" s="10" t="s">
        <v>57</v>
      </c>
      <c r="D297" s="11" t="s">
        <v>60</v>
      </c>
      <c r="E297" s="12">
        <v>4398.8599999999997</v>
      </c>
    </row>
    <row r="298" spans="1:5" x14ac:dyDescent="0.3">
      <c r="A298" s="10" t="s">
        <v>71</v>
      </c>
      <c r="B298" s="10">
        <v>2022</v>
      </c>
      <c r="C298" s="10" t="s">
        <v>57</v>
      </c>
      <c r="D298" s="11" t="s">
        <v>60</v>
      </c>
      <c r="E298" s="12">
        <v>5209.2299999999996</v>
      </c>
    </row>
    <row r="299" spans="1:5" x14ac:dyDescent="0.3">
      <c r="A299" s="10" t="s">
        <v>71</v>
      </c>
      <c r="B299" s="10">
        <v>2023</v>
      </c>
      <c r="C299" s="10" t="s">
        <v>57</v>
      </c>
      <c r="D299" s="11" t="s">
        <v>60</v>
      </c>
      <c r="E299" s="12">
        <v>6198.37</v>
      </c>
    </row>
    <row r="300" spans="1:5" x14ac:dyDescent="0.3">
      <c r="A300" s="10" t="s">
        <v>71</v>
      </c>
      <c r="B300" s="10">
        <v>2024</v>
      </c>
      <c r="C300" s="10" t="s">
        <v>57</v>
      </c>
      <c r="D300" s="11" t="s">
        <v>60</v>
      </c>
      <c r="E300" s="12">
        <v>7069.18</v>
      </c>
    </row>
    <row r="301" spans="1:5" x14ac:dyDescent="0.3">
      <c r="A301" s="10" t="s">
        <v>71</v>
      </c>
      <c r="B301" s="10">
        <v>2025</v>
      </c>
      <c r="C301" s="10" t="s">
        <v>57</v>
      </c>
      <c r="D301" s="11" t="s">
        <v>60</v>
      </c>
      <c r="E301" s="12">
        <v>8084.8</v>
      </c>
    </row>
    <row r="302" spans="1:5" x14ac:dyDescent="0.3">
      <c r="A302" s="10" t="s">
        <v>71</v>
      </c>
      <c r="B302" s="10">
        <v>2021</v>
      </c>
      <c r="C302" s="10" t="s">
        <v>57</v>
      </c>
      <c r="D302" s="11" t="s">
        <v>61</v>
      </c>
      <c r="E302" s="12">
        <v>2119.35</v>
      </c>
    </row>
    <row r="303" spans="1:5" x14ac:dyDescent="0.3">
      <c r="A303" s="10" t="s">
        <v>71</v>
      </c>
      <c r="B303" s="10">
        <v>2022</v>
      </c>
      <c r="C303" s="10" t="s">
        <v>57</v>
      </c>
      <c r="D303" s="11" t="s">
        <v>61</v>
      </c>
      <c r="E303" s="12">
        <v>2141.12</v>
      </c>
    </row>
    <row r="304" spans="1:5" x14ac:dyDescent="0.3">
      <c r="A304" s="10" t="s">
        <v>71</v>
      </c>
      <c r="B304" s="10">
        <v>2023</v>
      </c>
      <c r="C304" s="10" t="s">
        <v>57</v>
      </c>
      <c r="D304" s="11" t="s">
        <v>61</v>
      </c>
      <c r="E304" s="12">
        <v>2198.16</v>
      </c>
    </row>
    <row r="305" spans="1:5" x14ac:dyDescent="0.3">
      <c r="A305" s="10" t="s">
        <v>71</v>
      </c>
      <c r="B305" s="10">
        <v>2024</v>
      </c>
      <c r="C305" s="10" t="s">
        <v>57</v>
      </c>
      <c r="D305" s="11" t="s">
        <v>61</v>
      </c>
      <c r="E305" s="12">
        <v>2266.62</v>
      </c>
    </row>
    <row r="306" spans="1:5" x14ac:dyDescent="0.3">
      <c r="A306" s="10" t="s">
        <v>71</v>
      </c>
      <c r="B306" s="10">
        <v>2025</v>
      </c>
      <c r="C306" s="10" t="s">
        <v>57</v>
      </c>
      <c r="D306" s="11" t="s">
        <v>61</v>
      </c>
      <c r="E306" s="12">
        <v>2369.0300000000002</v>
      </c>
    </row>
    <row r="307" spans="1:5" x14ac:dyDescent="0.3">
      <c r="A307" s="10" t="s">
        <v>71</v>
      </c>
      <c r="B307" s="10">
        <v>2021</v>
      </c>
      <c r="C307" s="10" t="s">
        <v>57</v>
      </c>
      <c r="D307" s="11" t="s">
        <v>62</v>
      </c>
      <c r="E307" s="12">
        <v>1386.82</v>
      </c>
    </row>
    <row r="308" spans="1:5" x14ac:dyDescent="0.3">
      <c r="A308" s="10" t="s">
        <v>71</v>
      </c>
      <c r="B308" s="10">
        <v>2022</v>
      </c>
      <c r="C308" s="10" t="s">
        <v>57</v>
      </c>
      <c r="D308" s="11" t="s">
        <v>62</v>
      </c>
      <c r="E308" s="12">
        <v>1657.12</v>
      </c>
    </row>
    <row r="309" spans="1:5" x14ac:dyDescent="0.3">
      <c r="A309" s="10" t="s">
        <v>71</v>
      </c>
      <c r="B309" s="10">
        <v>2023</v>
      </c>
      <c r="C309" s="10" t="s">
        <v>57</v>
      </c>
      <c r="D309" s="11" t="s">
        <v>62</v>
      </c>
      <c r="E309" s="12">
        <v>1931.17</v>
      </c>
    </row>
    <row r="310" spans="1:5" x14ac:dyDescent="0.3">
      <c r="A310" s="10" t="s">
        <v>71</v>
      </c>
      <c r="B310" s="10">
        <v>2024</v>
      </c>
      <c r="C310" s="10" t="s">
        <v>57</v>
      </c>
      <c r="D310" s="11" t="s">
        <v>62</v>
      </c>
      <c r="E310" s="12">
        <v>2257.2399999999998</v>
      </c>
    </row>
    <row r="311" spans="1:5" x14ac:dyDescent="0.3">
      <c r="A311" s="10" t="s">
        <v>71</v>
      </c>
      <c r="B311" s="10">
        <v>2025</v>
      </c>
      <c r="C311" s="10" t="s">
        <v>57</v>
      </c>
      <c r="D311" s="11" t="s">
        <v>62</v>
      </c>
      <c r="E311" s="12">
        <v>2347.3200000000002</v>
      </c>
    </row>
    <row r="312" spans="1:5" x14ac:dyDescent="0.3">
      <c r="A312" s="10" t="s">
        <v>71</v>
      </c>
      <c r="B312" s="10">
        <v>2021</v>
      </c>
      <c r="C312" s="10" t="s">
        <v>57</v>
      </c>
      <c r="D312" s="11" t="s">
        <v>63</v>
      </c>
      <c r="E312" s="12">
        <v>1614.75</v>
      </c>
    </row>
    <row r="313" spans="1:5" x14ac:dyDescent="0.3">
      <c r="A313" s="10" t="s">
        <v>71</v>
      </c>
      <c r="B313" s="10">
        <v>2022</v>
      </c>
      <c r="C313" s="10" t="s">
        <v>57</v>
      </c>
      <c r="D313" s="11" t="s">
        <v>63</v>
      </c>
      <c r="E313" s="12">
        <v>1697.75</v>
      </c>
    </row>
    <row r="314" spans="1:5" x14ac:dyDescent="0.3">
      <c r="A314" s="10" t="s">
        <v>71</v>
      </c>
      <c r="B314" s="10">
        <v>2023</v>
      </c>
      <c r="C314" s="10" t="s">
        <v>57</v>
      </c>
      <c r="D314" s="11" t="s">
        <v>63</v>
      </c>
      <c r="E314" s="12">
        <v>1763.27</v>
      </c>
    </row>
    <row r="315" spans="1:5" x14ac:dyDescent="0.3">
      <c r="A315" s="10" t="s">
        <v>71</v>
      </c>
      <c r="B315" s="10">
        <v>2024</v>
      </c>
      <c r="C315" s="10" t="s">
        <v>57</v>
      </c>
      <c r="D315" s="11" t="s">
        <v>63</v>
      </c>
      <c r="E315" s="12">
        <v>1852.22</v>
      </c>
    </row>
    <row r="316" spans="1:5" x14ac:dyDescent="0.3">
      <c r="A316" s="10" t="s">
        <v>71</v>
      </c>
      <c r="B316" s="10">
        <v>2025</v>
      </c>
      <c r="C316" s="10" t="s">
        <v>57</v>
      </c>
      <c r="D316" s="11" t="s">
        <v>63</v>
      </c>
      <c r="E316" s="12">
        <v>1964.57</v>
      </c>
    </row>
    <row r="317" spans="1:5" x14ac:dyDescent="0.3">
      <c r="A317" s="10" t="s">
        <v>71</v>
      </c>
      <c r="B317" s="10">
        <v>2021</v>
      </c>
      <c r="C317" s="10" t="s">
        <v>57</v>
      </c>
      <c r="D317" s="11" t="s">
        <v>64</v>
      </c>
      <c r="E317" s="12">
        <v>227.3</v>
      </c>
    </row>
    <row r="318" spans="1:5" x14ac:dyDescent="0.3">
      <c r="A318" s="10" t="s">
        <v>71</v>
      </c>
      <c r="B318" s="10">
        <v>2022</v>
      </c>
      <c r="C318" s="10" t="s">
        <v>57</v>
      </c>
      <c r="D318" s="11" t="s">
        <v>64</v>
      </c>
      <c r="E318" s="12">
        <v>255.12</v>
      </c>
    </row>
    <row r="319" spans="1:5" x14ac:dyDescent="0.3">
      <c r="A319" s="10" t="s">
        <v>71</v>
      </c>
      <c r="B319" s="10">
        <v>2023</v>
      </c>
      <c r="C319" s="10" t="s">
        <v>57</v>
      </c>
      <c r="D319" s="11" t="s">
        <v>64</v>
      </c>
      <c r="E319" s="12">
        <v>281.87</v>
      </c>
    </row>
    <row r="320" spans="1:5" x14ac:dyDescent="0.3">
      <c r="A320" s="10" t="s">
        <v>71</v>
      </c>
      <c r="B320" s="10">
        <v>2024</v>
      </c>
      <c r="C320" s="10" t="s">
        <v>57</v>
      </c>
      <c r="D320" s="11" t="s">
        <v>64</v>
      </c>
      <c r="E320" s="12">
        <v>303.81</v>
      </c>
    </row>
    <row r="321" spans="1:5" x14ac:dyDescent="0.3">
      <c r="A321" s="10" t="s">
        <v>71</v>
      </c>
      <c r="B321" s="10">
        <v>2025</v>
      </c>
      <c r="C321" s="10" t="s">
        <v>57</v>
      </c>
      <c r="D321" s="11" t="s">
        <v>64</v>
      </c>
      <c r="E321" s="12">
        <v>331.9</v>
      </c>
    </row>
    <row r="322" spans="1:5" x14ac:dyDescent="0.3">
      <c r="A322" s="10" t="s">
        <v>71</v>
      </c>
      <c r="B322" s="10">
        <v>2021</v>
      </c>
      <c r="C322" s="10" t="s">
        <v>57</v>
      </c>
      <c r="D322" s="11" t="s">
        <v>65</v>
      </c>
      <c r="E322" s="12">
        <v>1958.3</v>
      </c>
    </row>
    <row r="323" spans="1:5" x14ac:dyDescent="0.3">
      <c r="A323" s="10" t="s">
        <v>71</v>
      </c>
      <c r="B323" s="10">
        <v>2022</v>
      </c>
      <c r="C323" s="10" t="s">
        <v>57</v>
      </c>
      <c r="D323" s="11" t="s">
        <v>65</v>
      </c>
      <c r="E323" s="12">
        <v>1998.93</v>
      </c>
    </row>
    <row r="324" spans="1:5" x14ac:dyDescent="0.3">
      <c r="A324" s="10" t="s">
        <v>71</v>
      </c>
      <c r="B324" s="10">
        <v>2023</v>
      </c>
      <c r="C324" s="10" t="s">
        <v>57</v>
      </c>
      <c r="D324" s="11" t="s">
        <v>65</v>
      </c>
      <c r="E324" s="12">
        <v>2001.99</v>
      </c>
    </row>
    <row r="325" spans="1:5" x14ac:dyDescent="0.3">
      <c r="A325" s="10" t="s">
        <v>71</v>
      </c>
      <c r="B325" s="10">
        <v>2024</v>
      </c>
      <c r="C325" s="10" t="s">
        <v>57</v>
      </c>
      <c r="D325" s="11" t="s">
        <v>65</v>
      </c>
      <c r="E325" s="12">
        <v>2129.6999999999998</v>
      </c>
    </row>
    <row r="326" spans="1:5" x14ac:dyDescent="0.3">
      <c r="A326" s="10" t="s">
        <v>71</v>
      </c>
      <c r="B326" s="10">
        <v>2025</v>
      </c>
      <c r="C326" s="10" t="s">
        <v>57</v>
      </c>
      <c r="D326" s="11" t="s">
        <v>65</v>
      </c>
      <c r="E326" s="12">
        <v>2362.5700000000002</v>
      </c>
    </row>
    <row r="327" spans="1:5" x14ac:dyDescent="0.3">
      <c r="A327" s="10" t="s">
        <v>71</v>
      </c>
      <c r="B327" s="10">
        <v>2021</v>
      </c>
      <c r="C327" s="10" t="s">
        <v>57</v>
      </c>
      <c r="D327" s="11" t="s">
        <v>66</v>
      </c>
      <c r="E327" s="12">
        <v>2713.61</v>
      </c>
    </row>
    <row r="328" spans="1:5" x14ac:dyDescent="0.3">
      <c r="A328" s="10" t="s">
        <v>71</v>
      </c>
      <c r="B328" s="10">
        <v>2022</v>
      </c>
      <c r="C328" s="10" t="s">
        <v>57</v>
      </c>
      <c r="D328" s="11" t="s">
        <v>66</v>
      </c>
      <c r="E328" s="12">
        <v>2741.41</v>
      </c>
    </row>
    <row r="329" spans="1:5" x14ac:dyDescent="0.3">
      <c r="A329" s="10" t="s">
        <v>71</v>
      </c>
      <c r="B329" s="10">
        <v>2023</v>
      </c>
      <c r="C329" s="10" t="s">
        <v>57</v>
      </c>
      <c r="D329" s="11" t="s">
        <v>66</v>
      </c>
      <c r="E329" s="12">
        <v>2726.84</v>
      </c>
    </row>
    <row r="330" spans="1:5" x14ac:dyDescent="0.3">
      <c r="A330" s="10" t="s">
        <v>71</v>
      </c>
      <c r="B330" s="10">
        <v>2024</v>
      </c>
      <c r="C330" s="10" t="s">
        <v>57</v>
      </c>
      <c r="D330" s="11" t="s">
        <v>66</v>
      </c>
      <c r="E330" s="12">
        <v>2849.27</v>
      </c>
    </row>
    <row r="331" spans="1:5" x14ac:dyDescent="0.3">
      <c r="A331" s="10" t="s">
        <v>71</v>
      </c>
      <c r="B331" s="10">
        <v>2025</v>
      </c>
      <c r="C331" s="10" t="s">
        <v>57</v>
      </c>
      <c r="D331" s="11" t="s">
        <v>66</v>
      </c>
      <c r="E331" s="12">
        <v>3124.22</v>
      </c>
    </row>
    <row r="332" spans="1:5" x14ac:dyDescent="0.3">
      <c r="A332" s="10" t="s">
        <v>71</v>
      </c>
      <c r="B332" s="10">
        <v>2021</v>
      </c>
      <c r="C332" s="10" t="s">
        <v>57</v>
      </c>
      <c r="D332" s="11" t="s">
        <v>67</v>
      </c>
      <c r="E332" s="12">
        <v>857.36</v>
      </c>
    </row>
    <row r="333" spans="1:5" x14ac:dyDescent="0.3">
      <c r="A333" s="10" t="s">
        <v>71</v>
      </c>
      <c r="B333" s="10">
        <v>2022</v>
      </c>
      <c r="C333" s="10" t="s">
        <v>57</v>
      </c>
      <c r="D333" s="11" t="s">
        <v>67</v>
      </c>
      <c r="E333" s="12">
        <v>888.7</v>
      </c>
    </row>
    <row r="334" spans="1:5" x14ac:dyDescent="0.3">
      <c r="A334" s="10" t="s">
        <v>71</v>
      </c>
      <c r="B334" s="10">
        <v>2023</v>
      </c>
      <c r="C334" s="10" t="s">
        <v>57</v>
      </c>
      <c r="D334" s="11" t="s">
        <v>67</v>
      </c>
      <c r="E334" s="12">
        <v>927.59</v>
      </c>
    </row>
    <row r="335" spans="1:5" x14ac:dyDescent="0.3">
      <c r="A335" s="10" t="s">
        <v>71</v>
      </c>
      <c r="B335" s="10">
        <v>2024</v>
      </c>
      <c r="C335" s="10" t="s">
        <v>57</v>
      </c>
      <c r="D335" s="11" t="s">
        <v>67</v>
      </c>
      <c r="E335" s="12">
        <v>972.8</v>
      </c>
    </row>
    <row r="336" spans="1:5" x14ac:dyDescent="0.3">
      <c r="A336" s="10" t="s">
        <v>71</v>
      </c>
      <c r="B336" s="10">
        <v>2025</v>
      </c>
      <c r="C336" s="10" t="s">
        <v>57</v>
      </c>
      <c r="D336" s="11" t="s">
        <v>67</v>
      </c>
      <c r="E336" s="12">
        <v>1042.22</v>
      </c>
    </row>
    <row r="337" spans="1:5" x14ac:dyDescent="0.3">
      <c r="A337" s="10" t="s">
        <v>71</v>
      </c>
      <c r="B337" s="10">
        <v>2021</v>
      </c>
      <c r="C337" s="10" t="s">
        <v>57</v>
      </c>
      <c r="D337" s="11" t="s">
        <v>68</v>
      </c>
      <c r="E337" s="12">
        <v>622.92999999999995</v>
      </c>
    </row>
    <row r="338" spans="1:5" x14ac:dyDescent="0.3">
      <c r="A338" s="10" t="s">
        <v>71</v>
      </c>
      <c r="B338" s="10">
        <v>2022</v>
      </c>
      <c r="C338" s="10" t="s">
        <v>57</v>
      </c>
      <c r="D338" s="11" t="s">
        <v>68</v>
      </c>
      <c r="E338" s="12">
        <v>711.52</v>
      </c>
    </row>
    <row r="339" spans="1:5" x14ac:dyDescent="0.3">
      <c r="A339" s="10" t="s">
        <v>71</v>
      </c>
      <c r="B339" s="10">
        <v>2023</v>
      </c>
      <c r="C339" s="10" t="s">
        <v>57</v>
      </c>
      <c r="D339" s="11" t="s">
        <v>68</v>
      </c>
      <c r="E339" s="12">
        <v>791.3</v>
      </c>
    </row>
    <row r="340" spans="1:5" x14ac:dyDescent="0.3">
      <c r="A340" s="10" t="s">
        <v>71</v>
      </c>
      <c r="B340" s="10">
        <v>2024</v>
      </c>
      <c r="C340" s="10" t="s">
        <v>57</v>
      </c>
      <c r="D340" s="11" t="s">
        <v>68</v>
      </c>
      <c r="E340" s="12">
        <v>860.85</v>
      </c>
    </row>
    <row r="341" spans="1:5" x14ac:dyDescent="0.3">
      <c r="A341" s="10" t="s">
        <v>71</v>
      </c>
      <c r="B341" s="10">
        <v>2025</v>
      </c>
      <c r="C341" s="10" t="s">
        <v>57</v>
      </c>
      <c r="D341" s="11" t="s">
        <v>68</v>
      </c>
      <c r="E341" s="12">
        <v>936.63</v>
      </c>
    </row>
    <row r="342" spans="1:5" x14ac:dyDescent="0.3">
      <c r="A342" s="10" t="s">
        <v>72</v>
      </c>
      <c r="B342" s="10">
        <v>2021</v>
      </c>
      <c r="C342" s="10" t="s">
        <v>49</v>
      </c>
      <c r="D342" s="11" t="s">
        <v>50</v>
      </c>
      <c r="E342" s="12">
        <v>3471.19</v>
      </c>
    </row>
    <row r="343" spans="1:5" x14ac:dyDescent="0.3">
      <c r="A343" s="10" t="s">
        <v>72</v>
      </c>
      <c r="B343" s="10">
        <v>2022</v>
      </c>
      <c r="C343" s="10" t="s">
        <v>49</v>
      </c>
      <c r="D343" s="11" t="s">
        <v>50</v>
      </c>
      <c r="E343" s="12">
        <v>3510.64</v>
      </c>
    </row>
    <row r="344" spans="1:5" x14ac:dyDescent="0.3">
      <c r="A344" s="10" t="s">
        <v>72</v>
      </c>
      <c r="B344" s="10">
        <v>2023</v>
      </c>
      <c r="C344" s="10" t="s">
        <v>49</v>
      </c>
      <c r="D344" s="11" t="s">
        <v>50</v>
      </c>
      <c r="E344" s="12">
        <v>3675.84</v>
      </c>
    </row>
    <row r="345" spans="1:5" x14ac:dyDescent="0.3">
      <c r="A345" s="10" t="s">
        <v>72</v>
      </c>
      <c r="B345" s="10">
        <v>2024</v>
      </c>
      <c r="C345" s="10" t="s">
        <v>49</v>
      </c>
      <c r="D345" s="11" t="s">
        <v>50</v>
      </c>
      <c r="E345" s="12">
        <v>3891.73</v>
      </c>
    </row>
    <row r="346" spans="1:5" x14ac:dyDescent="0.3">
      <c r="A346" s="10" t="s">
        <v>72</v>
      </c>
      <c r="B346" s="10">
        <v>2025</v>
      </c>
      <c r="C346" s="10" t="s">
        <v>49</v>
      </c>
      <c r="D346" s="11" t="s">
        <v>50</v>
      </c>
      <c r="E346" s="12">
        <v>4097.6099999999997</v>
      </c>
    </row>
    <row r="347" spans="1:5" x14ac:dyDescent="0.3">
      <c r="A347" s="10" t="s">
        <v>72</v>
      </c>
      <c r="B347" s="10">
        <v>2021</v>
      </c>
      <c r="C347" s="10" t="s">
        <v>49</v>
      </c>
      <c r="D347" s="11" t="s">
        <v>51</v>
      </c>
      <c r="E347" s="12">
        <v>368.12</v>
      </c>
    </row>
    <row r="348" spans="1:5" x14ac:dyDescent="0.3">
      <c r="A348" s="10" t="s">
        <v>72</v>
      </c>
      <c r="B348" s="10">
        <v>2022</v>
      </c>
      <c r="C348" s="10" t="s">
        <v>49</v>
      </c>
      <c r="D348" s="11" t="s">
        <v>51</v>
      </c>
      <c r="E348" s="12">
        <v>391.64</v>
      </c>
    </row>
    <row r="349" spans="1:5" x14ac:dyDescent="0.3">
      <c r="A349" s="10" t="s">
        <v>72</v>
      </c>
      <c r="B349" s="10">
        <v>2023</v>
      </c>
      <c r="C349" s="10" t="s">
        <v>49</v>
      </c>
      <c r="D349" s="11" t="s">
        <v>51</v>
      </c>
      <c r="E349" s="12">
        <v>400.33</v>
      </c>
    </row>
    <row r="350" spans="1:5" x14ac:dyDescent="0.3">
      <c r="A350" s="10" t="s">
        <v>72</v>
      </c>
      <c r="B350" s="10">
        <v>2024</v>
      </c>
      <c r="C350" s="10" t="s">
        <v>49</v>
      </c>
      <c r="D350" s="11" t="s">
        <v>51</v>
      </c>
      <c r="E350" s="12">
        <v>419.97</v>
      </c>
    </row>
    <row r="351" spans="1:5" x14ac:dyDescent="0.3">
      <c r="A351" s="10" t="s">
        <v>72</v>
      </c>
      <c r="B351" s="10">
        <v>2025</v>
      </c>
      <c r="C351" s="10" t="s">
        <v>49</v>
      </c>
      <c r="D351" s="11" t="s">
        <v>51</v>
      </c>
      <c r="E351" s="12">
        <v>446.76</v>
      </c>
    </row>
    <row r="352" spans="1:5" x14ac:dyDescent="0.3">
      <c r="A352" s="10" t="s">
        <v>72</v>
      </c>
      <c r="B352" s="10">
        <v>2021</v>
      </c>
      <c r="C352" s="10" t="s">
        <v>52</v>
      </c>
      <c r="D352" s="11" t="s">
        <v>53</v>
      </c>
      <c r="E352" s="12">
        <v>3144.59</v>
      </c>
    </row>
    <row r="353" spans="1:5" x14ac:dyDescent="0.3">
      <c r="A353" s="10" t="s">
        <v>72</v>
      </c>
      <c r="B353" s="10">
        <v>2022</v>
      </c>
      <c r="C353" s="10" t="s">
        <v>52</v>
      </c>
      <c r="D353" s="11" t="s">
        <v>53</v>
      </c>
      <c r="E353" s="12">
        <v>3435.57</v>
      </c>
    </row>
    <row r="354" spans="1:5" x14ac:dyDescent="0.3">
      <c r="A354" s="10" t="s">
        <v>72</v>
      </c>
      <c r="B354" s="10">
        <v>2023</v>
      </c>
      <c r="C354" s="10" t="s">
        <v>52</v>
      </c>
      <c r="D354" s="11" t="s">
        <v>53</v>
      </c>
      <c r="E354" s="12">
        <v>3702.59</v>
      </c>
    </row>
    <row r="355" spans="1:5" x14ac:dyDescent="0.3">
      <c r="A355" s="10" t="s">
        <v>72</v>
      </c>
      <c r="B355" s="10">
        <v>2024</v>
      </c>
      <c r="C355" s="10" t="s">
        <v>52</v>
      </c>
      <c r="D355" s="11" t="s">
        <v>53</v>
      </c>
      <c r="E355" s="12">
        <v>3987.52</v>
      </c>
    </row>
    <row r="356" spans="1:5" x14ac:dyDescent="0.3">
      <c r="A356" s="10" t="s">
        <v>72</v>
      </c>
      <c r="B356" s="10">
        <v>2025</v>
      </c>
      <c r="C356" s="10" t="s">
        <v>52</v>
      </c>
      <c r="D356" s="11" t="s">
        <v>53</v>
      </c>
      <c r="E356" s="12">
        <v>4318.46</v>
      </c>
    </row>
    <row r="357" spans="1:5" x14ac:dyDescent="0.3">
      <c r="A357" s="10" t="s">
        <v>72</v>
      </c>
      <c r="B357" s="10">
        <v>2021</v>
      </c>
      <c r="C357" s="10" t="s">
        <v>52</v>
      </c>
      <c r="D357" s="11" t="s">
        <v>54</v>
      </c>
      <c r="E357" s="12">
        <v>26.07</v>
      </c>
    </row>
    <row r="358" spans="1:5" x14ac:dyDescent="0.3">
      <c r="A358" s="10" t="s">
        <v>72</v>
      </c>
      <c r="B358" s="10">
        <v>2022</v>
      </c>
      <c r="C358" s="10" t="s">
        <v>52</v>
      </c>
      <c r="D358" s="11" t="s">
        <v>54</v>
      </c>
      <c r="E358" s="12">
        <v>31.3</v>
      </c>
    </row>
    <row r="359" spans="1:5" x14ac:dyDescent="0.3">
      <c r="A359" s="10" t="s">
        <v>72</v>
      </c>
      <c r="B359" s="10">
        <v>2023</v>
      </c>
      <c r="C359" s="10" t="s">
        <v>52</v>
      </c>
      <c r="D359" s="11" t="s">
        <v>54</v>
      </c>
      <c r="E359" s="12">
        <v>35.99</v>
      </c>
    </row>
    <row r="360" spans="1:5" x14ac:dyDescent="0.3">
      <c r="A360" s="10" t="s">
        <v>72</v>
      </c>
      <c r="B360" s="10">
        <v>2024</v>
      </c>
      <c r="C360" s="10" t="s">
        <v>52</v>
      </c>
      <c r="D360" s="11" t="s">
        <v>54</v>
      </c>
      <c r="E360" s="12">
        <v>39.5</v>
      </c>
    </row>
    <row r="361" spans="1:5" x14ac:dyDescent="0.3">
      <c r="A361" s="10" t="s">
        <v>72</v>
      </c>
      <c r="B361" s="10">
        <v>2025</v>
      </c>
      <c r="C361" s="10" t="s">
        <v>52</v>
      </c>
      <c r="D361" s="11" t="s">
        <v>54</v>
      </c>
      <c r="E361" s="12">
        <v>43.09</v>
      </c>
    </row>
    <row r="362" spans="1:5" x14ac:dyDescent="0.3">
      <c r="A362" s="10" t="s">
        <v>72</v>
      </c>
      <c r="B362" s="10">
        <v>2021</v>
      </c>
      <c r="C362" s="10" t="s">
        <v>52</v>
      </c>
      <c r="D362" s="11" t="s">
        <v>55</v>
      </c>
      <c r="E362" s="12">
        <v>34.39</v>
      </c>
    </row>
    <row r="363" spans="1:5" x14ac:dyDescent="0.3">
      <c r="A363" s="10" t="s">
        <v>72</v>
      </c>
      <c r="B363" s="10">
        <v>2022</v>
      </c>
      <c r="C363" s="10" t="s">
        <v>52</v>
      </c>
      <c r="D363" s="11" t="s">
        <v>55</v>
      </c>
      <c r="E363" s="12">
        <v>34.78</v>
      </c>
    </row>
    <row r="364" spans="1:5" x14ac:dyDescent="0.3">
      <c r="A364" s="10" t="s">
        <v>72</v>
      </c>
      <c r="B364" s="10">
        <v>2023</v>
      </c>
      <c r="C364" s="10" t="s">
        <v>52</v>
      </c>
      <c r="D364" s="11" t="s">
        <v>55</v>
      </c>
      <c r="E364" s="12">
        <v>36.909999999999997</v>
      </c>
    </row>
    <row r="365" spans="1:5" x14ac:dyDescent="0.3">
      <c r="A365" s="10" t="s">
        <v>72</v>
      </c>
      <c r="B365" s="10">
        <v>2024</v>
      </c>
      <c r="C365" s="10" t="s">
        <v>52</v>
      </c>
      <c r="D365" s="11" t="s">
        <v>55</v>
      </c>
      <c r="E365" s="12">
        <v>39.840000000000003</v>
      </c>
    </row>
    <row r="366" spans="1:5" x14ac:dyDescent="0.3">
      <c r="A366" s="10" t="s">
        <v>72</v>
      </c>
      <c r="B366" s="10">
        <v>2025</v>
      </c>
      <c r="C366" s="10" t="s">
        <v>52</v>
      </c>
      <c r="D366" s="11" t="s">
        <v>55</v>
      </c>
      <c r="E366" s="12">
        <v>41.42</v>
      </c>
    </row>
    <row r="367" spans="1:5" x14ac:dyDescent="0.3">
      <c r="A367" s="10" t="s">
        <v>72</v>
      </c>
      <c r="B367" s="10">
        <v>2021</v>
      </c>
      <c r="C367" s="10" t="s">
        <v>52</v>
      </c>
      <c r="D367" s="11" t="s">
        <v>56</v>
      </c>
      <c r="E367" s="12">
        <v>3393.16</v>
      </c>
    </row>
    <row r="368" spans="1:5" x14ac:dyDescent="0.3">
      <c r="A368" s="10" t="s">
        <v>72</v>
      </c>
      <c r="B368" s="10">
        <v>2022</v>
      </c>
      <c r="C368" s="10" t="s">
        <v>52</v>
      </c>
      <c r="D368" s="11" t="s">
        <v>56</v>
      </c>
      <c r="E368" s="12">
        <v>3622.14</v>
      </c>
    </row>
    <row r="369" spans="1:5" x14ac:dyDescent="0.3">
      <c r="A369" s="10" t="s">
        <v>72</v>
      </c>
      <c r="B369" s="10">
        <v>2023</v>
      </c>
      <c r="C369" s="10" t="s">
        <v>52</v>
      </c>
      <c r="D369" s="11" t="s">
        <v>56</v>
      </c>
      <c r="E369" s="12">
        <v>3748.7</v>
      </c>
    </row>
    <row r="370" spans="1:5" x14ac:dyDescent="0.3">
      <c r="A370" s="10" t="s">
        <v>72</v>
      </c>
      <c r="B370" s="10">
        <v>2024</v>
      </c>
      <c r="C370" s="10" t="s">
        <v>52</v>
      </c>
      <c r="D370" s="11" t="s">
        <v>56</v>
      </c>
      <c r="E370" s="12">
        <v>3811.08</v>
      </c>
    </row>
    <row r="371" spans="1:5" x14ac:dyDescent="0.3">
      <c r="A371" s="10" t="s">
        <v>72</v>
      </c>
      <c r="B371" s="10">
        <v>2025</v>
      </c>
      <c r="C371" s="10" t="s">
        <v>52</v>
      </c>
      <c r="D371" s="11" t="s">
        <v>56</v>
      </c>
      <c r="E371" s="12">
        <v>4165.58</v>
      </c>
    </row>
    <row r="372" spans="1:5" x14ac:dyDescent="0.3">
      <c r="A372" s="10" t="s">
        <v>72</v>
      </c>
      <c r="B372" s="10">
        <v>2021</v>
      </c>
      <c r="C372" s="10" t="s">
        <v>57</v>
      </c>
      <c r="D372" s="11" t="s">
        <v>58</v>
      </c>
      <c r="E372" s="12">
        <v>2113.84</v>
      </c>
    </row>
    <row r="373" spans="1:5" x14ac:dyDescent="0.3">
      <c r="A373" s="10" t="s">
        <v>72</v>
      </c>
      <c r="B373" s="10">
        <v>2022</v>
      </c>
      <c r="C373" s="10" t="s">
        <v>57</v>
      </c>
      <c r="D373" s="11" t="s">
        <v>58</v>
      </c>
      <c r="E373" s="12">
        <v>2315.52</v>
      </c>
    </row>
    <row r="374" spans="1:5" x14ac:dyDescent="0.3">
      <c r="A374" s="10" t="s">
        <v>72</v>
      </c>
      <c r="B374" s="10">
        <v>2023</v>
      </c>
      <c r="C374" s="10" t="s">
        <v>57</v>
      </c>
      <c r="D374" s="11" t="s">
        <v>58</v>
      </c>
      <c r="E374" s="12">
        <v>2519.75</v>
      </c>
    </row>
    <row r="375" spans="1:5" x14ac:dyDescent="0.3">
      <c r="A375" s="10" t="s">
        <v>72</v>
      </c>
      <c r="B375" s="10">
        <v>2024</v>
      </c>
      <c r="C375" s="10" t="s">
        <v>57</v>
      </c>
      <c r="D375" s="11" t="s">
        <v>58</v>
      </c>
      <c r="E375" s="12">
        <v>2699.85</v>
      </c>
    </row>
    <row r="376" spans="1:5" x14ac:dyDescent="0.3">
      <c r="A376" s="10" t="s">
        <v>72</v>
      </c>
      <c r="B376" s="10">
        <v>2025</v>
      </c>
      <c r="C376" s="10" t="s">
        <v>57</v>
      </c>
      <c r="D376" s="11" t="s">
        <v>58</v>
      </c>
      <c r="E376" s="12">
        <v>2930.15</v>
      </c>
    </row>
    <row r="377" spans="1:5" x14ac:dyDescent="0.3">
      <c r="A377" s="10" t="s">
        <v>72</v>
      </c>
      <c r="B377" s="10">
        <v>2021</v>
      </c>
      <c r="C377" s="10" t="s">
        <v>57</v>
      </c>
      <c r="D377" s="11" t="s">
        <v>59</v>
      </c>
      <c r="E377" s="12">
        <v>211.26</v>
      </c>
    </row>
    <row r="378" spans="1:5" x14ac:dyDescent="0.3">
      <c r="A378" s="10" t="s">
        <v>72</v>
      </c>
      <c r="B378" s="10">
        <v>2022</v>
      </c>
      <c r="C378" s="10" t="s">
        <v>57</v>
      </c>
      <c r="D378" s="11" t="s">
        <v>59</v>
      </c>
      <c r="E378" s="12">
        <v>239.27</v>
      </c>
    </row>
    <row r="379" spans="1:5" x14ac:dyDescent="0.3">
      <c r="A379" s="10" t="s">
        <v>72</v>
      </c>
      <c r="B379" s="10">
        <v>2023</v>
      </c>
      <c r="C379" s="10" t="s">
        <v>57</v>
      </c>
      <c r="D379" s="11" t="s">
        <v>59</v>
      </c>
      <c r="E379" s="12">
        <v>278.93</v>
      </c>
    </row>
    <row r="380" spans="1:5" x14ac:dyDescent="0.3">
      <c r="A380" s="10" t="s">
        <v>72</v>
      </c>
      <c r="B380" s="10">
        <v>2024</v>
      </c>
      <c r="C380" s="10" t="s">
        <v>57</v>
      </c>
      <c r="D380" s="11" t="s">
        <v>59</v>
      </c>
      <c r="E380" s="12">
        <v>312.04000000000002</v>
      </c>
    </row>
    <row r="381" spans="1:5" x14ac:dyDescent="0.3">
      <c r="A381" s="10" t="s">
        <v>72</v>
      </c>
      <c r="B381" s="10">
        <v>2025</v>
      </c>
      <c r="C381" s="10" t="s">
        <v>57</v>
      </c>
      <c r="D381" s="11" t="s">
        <v>59</v>
      </c>
      <c r="E381" s="12">
        <v>334.03</v>
      </c>
    </row>
    <row r="382" spans="1:5" x14ac:dyDescent="0.3">
      <c r="A382" s="10" t="s">
        <v>72</v>
      </c>
      <c r="B382" s="10">
        <v>2021</v>
      </c>
      <c r="C382" s="10" t="s">
        <v>57</v>
      </c>
      <c r="D382" s="11" t="s">
        <v>60</v>
      </c>
      <c r="E382" s="12">
        <v>4669.74</v>
      </c>
    </row>
    <row r="383" spans="1:5" x14ac:dyDescent="0.3">
      <c r="A383" s="10" t="s">
        <v>72</v>
      </c>
      <c r="B383" s="10">
        <v>2022</v>
      </c>
      <c r="C383" s="10" t="s">
        <v>57</v>
      </c>
      <c r="D383" s="11" t="s">
        <v>60</v>
      </c>
      <c r="E383" s="12">
        <v>5511.59</v>
      </c>
    </row>
    <row r="384" spans="1:5" x14ac:dyDescent="0.3">
      <c r="A384" s="10" t="s">
        <v>72</v>
      </c>
      <c r="B384" s="10">
        <v>2023</v>
      </c>
      <c r="C384" s="10" t="s">
        <v>57</v>
      </c>
      <c r="D384" s="11" t="s">
        <v>60</v>
      </c>
      <c r="E384" s="12">
        <v>6809.14</v>
      </c>
    </row>
    <row r="385" spans="1:5" x14ac:dyDescent="0.3">
      <c r="A385" s="10" t="s">
        <v>72</v>
      </c>
      <c r="B385" s="10">
        <v>2024</v>
      </c>
      <c r="C385" s="10" t="s">
        <v>57</v>
      </c>
      <c r="D385" s="11" t="s">
        <v>60</v>
      </c>
      <c r="E385" s="12">
        <v>7853.3</v>
      </c>
    </row>
    <row r="386" spans="1:5" x14ac:dyDescent="0.3">
      <c r="A386" s="10" t="s">
        <v>72</v>
      </c>
      <c r="B386" s="10">
        <v>2025</v>
      </c>
      <c r="C386" s="10" t="s">
        <v>57</v>
      </c>
      <c r="D386" s="11" t="s">
        <v>60</v>
      </c>
    </row>
    <row r="387" spans="1:5" x14ac:dyDescent="0.3">
      <c r="A387" s="10" t="s">
        <v>72</v>
      </c>
      <c r="B387" s="10">
        <v>2021</v>
      </c>
      <c r="C387" s="10" t="s">
        <v>57</v>
      </c>
      <c r="D387" s="11" t="s">
        <v>61</v>
      </c>
      <c r="E387" s="12">
        <v>1926.28</v>
      </c>
    </row>
    <row r="388" spans="1:5" x14ac:dyDescent="0.3">
      <c r="A388" s="10" t="s">
        <v>72</v>
      </c>
      <c r="B388" s="10">
        <v>2022</v>
      </c>
      <c r="C388" s="10" t="s">
        <v>57</v>
      </c>
      <c r="D388" s="11" t="s">
        <v>61</v>
      </c>
      <c r="E388" s="12">
        <v>1934.24</v>
      </c>
    </row>
    <row r="389" spans="1:5" x14ac:dyDescent="0.3">
      <c r="A389" s="10" t="s">
        <v>72</v>
      </c>
      <c r="B389" s="10">
        <v>2023</v>
      </c>
      <c r="C389" s="10" t="s">
        <v>57</v>
      </c>
      <c r="D389" s="11" t="s">
        <v>61</v>
      </c>
      <c r="E389" s="12">
        <v>2022.47</v>
      </c>
    </row>
    <row r="390" spans="1:5" x14ac:dyDescent="0.3">
      <c r="A390" s="10" t="s">
        <v>72</v>
      </c>
      <c r="B390" s="10">
        <v>2024</v>
      </c>
      <c r="C390" s="10" t="s">
        <v>57</v>
      </c>
      <c r="D390" s="11" t="s">
        <v>61</v>
      </c>
      <c r="E390" s="12">
        <v>2185.6799999999998</v>
      </c>
    </row>
    <row r="391" spans="1:5" x14ac:dyDescent="0.3">
      <c r="A391" s="10" t="s">
        <v>72</v>
      </c>
      <c r="B391" s="10">
        <v>2025</v>
      </c>
      <c r="C391" s="10" t="s">
        <v>57</v>
      </c>
      <c r="D391" s="11" t="s">
        <v>61</v>
      </c>
      <c r="E391" s="12">
        <v>2233.79</v>
      </c>
    </row>
    <row r="392" spans="1:5" x14ac:dyDescent="0.3">
      <c r="A392" s="10" t="s">
        <v>72</v>
      </c>
      <c r="B392" s="10">
        <v>2021</v>
      </c>
      <c r="C392" s="10" t="s">
        <v>57</v>
      </c>
      <c r="D392" s="11" t="s">
        <v>62</v>
      </c>
      <c r="E392" s="12">
        <v>1099.7</v>
      </c>
    </row>
    <row r="393" spans="1:5" x14ac:dyDescent="0.3">
      <c r="A393" s="10" t="s">
        <v>72</v>
      </c>
      <c r="B393" s="10">
        <v>2022</v>
      </c>
      <c r="C393" s="10" t="s">
        <v>57</v>
      </c>
      <c r="D393" s="11" t="s">
        <v>62</v>
      </c>
      <c r="E393" s="12">
        <v>1306.8</v>
      </c>
    </row>
    <row r="394" spans="1:5" x14ac:dyDescent="0.3">
      <c r="A394" s="10" t="s">
        <v>72</v>
      </c>
      <c r="B394" s="10">
        <v>2023</v>
      </c>
      <c r="C394" s="10" t="s">
        <v>57</v>
      </c>
      <c r="D394" s="11" t="s">
        <v>62</v>
      </c>
      <c r="E394" s="12">
        <v>1470.14</v>
      </c>
    </row>
    <row r="395" spans="1:5" x14ac:dyDescent="0.3">
      <c r="A395" s="10" t="s">
        <v>72</v>
      </c>
      <c r="B395" s="10">
        <v>2024</v>
      </c>
      <c r="C395" s="10" t="s">
        <v>57</v>
      </c>
      <c r="D395" s="11" t="s">
        <v>62</v>
      </c>
      <c r="E395" s="12">
        <v>1616.08</v>
      </c>
    </row>
    <row r="396" spans="1:5" x14ac:dyDescent="0.3">
      <c r="A396" s="10" t="s">
        <v>72</v>
      </c>
      <c r="B396" s="10">
        <v>2025</v>
      </c>
      <c r="C396" s="10" t="s">
        <v>57</v>
      </c>
      <c r="D396" s="11" t="s">
        <v>62</v>
      </c>
      <c r="E396" s="12">
        <v>1681.27</v>
      </c>
    </row>
    <row r="397" spans="1:5" x14ac:dyDescent="0.3">
      <c r="A397" s="10" t="s">
        <v>72</v>
      </c>
      <c r="B397" s="10">
        <v>2021</v>
      </c>
      <c r="C397" s="10" t="s">
        <v>57</v>
      </c>
      <c r="D397" s="11" t="s">
        <v>63</v>
      </c>
      <c r="E397" s="12">
        <v>1237.18</v>
      </c>
    </row>
    <row r="398" spans="1:5" x14ac:dyDescent="0.3">
      <c r="A398" s="10" t="s">
        <v>72</v>
      </c>
      <c r="B398" s="10">
        <v>2022</v>
      </c>
      <c r="C398" s="10" t="s">
        <v>57</v>
      </c>
      <c r="D398" s="11" t="s">
        <v>63</v>
      </c>
      <c r="E398" s="12">
        <v>1302.3399999999999</v>
      </c>
    </row>
    <row r="399" spans="1:5" x14ac:dyDescent="0.3">
      <c r="A399" s="10" t="s">
        <v>72</v>
      </c>
      <c r="B399" s="10">
        <v>2023</v>
      </c>
      <c r="C399" s="10" t="s">
        <v>57</v>
      </c>
      <c r="D399" s="11" t="s">
        <v>63</v>
      </c>
      <c r="E399" s="12">
        <v>1348.21</v>
      </c>
    </row>
    <row r="400" spans="1:5" x14ac:dyDescent="0.3">
      <c r="A400" s="10" t="s">
        <v>72</v>
      </c>
      <c r="B400" s="10">
        <v>2024</v>
      </c>
      <c r="C400" s="10" t="s">
        <v>57</v>
      </c>
      <c r="D400" s="11" t="s">
        <v>63</v>
      </c>
      <c r="E400" s="12">
        <v>1369.14</v>
      </c>
    </row>
    <row r="401" spans="1:5" x14ac:dyDescent="0.3">
      <c r="A401" s="10" t="s">
        <v>72</v>
      </c>
      <c r="B401" s="10">
        <v>2025</v>
      </c>
      <c r="C401" s="10" t="s">
        <v>57</v>
      </c>
      <c r="D401" s="11" t="s">
        <v>63</v>
      </c>
      <c r="E401" s="12">
        <v>1461.39</v>
      </c>
    </row>
    <row r="402" spans="1:5" x14ac:dyDescent="0.3">
      <c r="A402" s="10" t="s">
        <v>72</v>
      </c>
      <c r="B402" s="10">
        <v>2021</v>
      </c>
      <c r="C402" s="10" t="s">
        <v>57</v>
      </c>
      <c r="D402" s="11" t="s">
        <v>64</v>
      </c>
      <c r="E402" s="12">
        <v>324.08999999999997</v>
      </c>
    </row>
    <row r="403" spans="1:5" x14ac:dyDescent="0.3">
      <c r="A403" s="10" t="s">
        <v>72</v>
      </c>
      <c r="B403" s="10">
        <v>2022</v>
      </c>
      <c r="C403" s="10" t="s">
        <v>57</v>
      </c>
      <c r="D403" s="11" t="s">
        <v>64</v>
      </c>
      <c r="E403" s="12">
        <v>368.1</v>
      </c>
    </row>
    <row r="404" spans="1:5" x14ac:dyDescent="0.3">
      <c r="A404" s="10" t="s">
        <v>72</v>
      </c>
      <c r="B404" s="10">
        <v>2023</v>
      </c>
      <c r="C404" s="10" t="s">
        <v>57</v>
      </c>
      <c r="D404" s="11" t="s">
        <v>64</v>
      </c>
      <c r="E404" s="12">
        <v>407.99</v>
      </c>
    </row>
    <row r="405" spans="1:5" x14ac:dyDescent="0.3">
      <c r="A405" s="10" t="s">
        <v>72</v>
      </c>
      <c r="B405" s="10">
        <v>2024</v>
      </c>
      <c r="C405" s="10" t="s">
        <v>57</v>
      </c>
      <c r="D405" s="11" t="s">
        <v>64</v>
      </c>
      <c r="E405" s="12">
        <v>448.4</v>
      </c>
    </row>
    <row r="406" spans="1:5" x14ac:dyDescent="0.3">
      <c r="A406" s="10" t="s">
        <v>72</v>
      </c>
      <c r="B406" s="10">
        <v>2025</v>
      </c>
      <c r="C406" s="10" t="s">
        <v>57</v>
      </c>
      <c r="D406" s="11" t="s">
        <v>64</v>
      </c>
      <c r="E406" s="12">
        <v>484.99</v>
      </c>
    </row>
    <row r="407" spans="1:5" x14ac:dyDescent="0.3">
      <c r="A407" s="10" t="s">
        <v>72</v>
      </c>
      <c r="B407" s="10">
        <v>2021</v>
      </c>
      <c r="C407" s="10" t="s">
        <v>57</v>
      </c>
      <c r="D407" s="11" t="s">
        <v>65</v>
      </c>
      <c r="E407" s="12">
        <v>1545.6</v>
      </c>
    </row>
    <row r="408" spans="1:5" x14ac:dyDescent="0.3">
      <c r="A408" s="10" t="s">
        <v>72</v>
      </c>
      <c r="B408" s="10">
        <v>2022</v>
      </c>
      <c r="C408" s="10" t="s">
        <v>57</v>
      </c>
      <c r="D408" s="11" t="s">
        <v>65</v>
      </c>
      <c r="E408" s="12">
        <v>1594.6</v>
      </c>
    </row>
    <row r="409" spans="1:5" x14ac:dyDescent="0.3">
      <c r="A409" s="10" t="s">
        <v>72</v>
      </c>
      <c r="B409" s="10">
        <v>2023</v>
      </c>
      <c r="C409" s="10" t="s">
        <v>57</v>
      </c>
      <c r="D409" s="11" t="s">
        <v>65</v>
      </c>
      <c r="E409" s="12">
        <v>1603.13</v>
      </c>
    </row>
    <row r="410" spans="1:5" x14ac:dyDescent="0.3">
      <c r="A410" s="10" t="s">
        <v>72</v>
      </c>
      <c r="B410" s="10">
        <v>2024</v>
      </c>
      <c r="C410" s="10" t="s">
        <v>57</v>
      </c>
      <c r="D410" s="11" t="s">
        <v>65</v>
      </c>
      <c r="E410" s="12">
        <v>1736.92</v>
      </c>
    </row>
    <row r="411" spans="1:5" x14ac:dyDescent="0.3">
      <c r="A411" s="10" t="s">
        <v>72</v>
      </c>
      <c r="B411" s="10">
        <v>2025</v>
      </c>
      <c r="C411" s="10" t="s">
        <v>57</v>
      </c>
      <c r="D411" s="11" t="s">
        <v>65</v>
      </c>
      <c r="E411" s="12">
        <v>1964.49</v>
      </c>
    </row>
    <row r="412" spans="1:5" x14ac:dyDescent="0.3">
      <c r="A412" s="10" t="s">
        <v>72</v>
      </c>
      <c r="B412" s="10">
        <v>2021</v>
      </c>
      <c r="C412" s="10" t="s">
        <v>57</v>
      </c>
      <c r="D412" s="11" t="s">
        <v>66</v>
      </c>
      <c r="E412" s="12">
        <v>688.81</v>
      </c>
    </row>
    <row r="413" spans="1:5" x14ac:dyDescent="0.3">
      <c r="A413" s="10" t="s">
        <v>72</v>
      </c>
      <c r="B413" s="10">
        <v>2022</v>
      </c>
      <c r="C413" s="10" t="s">
        <v>57</v>
      </c>
      <c r="D413" s="11" t="s">
        <v>66</v>
      </c>
      <c r="E413" s="12">
        <v>698.61</v>
      </c>
    </row>
    <row r="414" spans="1:5" x14ac:dyDescent="0.3">
      <c r="A414" s="10" t="s">
        <v>72</v>
      </c>
      <c r="B414" s="10">
        <v>2023</v>
      </c>
      <c r="C414" s="10" t="s">
        <v>57</v>
      </c>
      <c r="D414" s="11" t="s">
        <v>66</v>
      </c>
      <c r="E414" s="12">
        <v>694.99</v>
      </c>
    </row>
    <row r="415" spans="1:5" x14ac:dyDescent="0.3">
      <c r="A415" s="10" t="s">
        <v>72</v>
      </c>
      <c r="B415" s="10">
        <v>2024</v>
      </c>
      <c r="C415" s="10" t="s">
        <v>57</v>
      </c>
      <c r="D415" s="11" t="s">
        <v>66</v>
      </c>
      <c r="E415" s="12">
        <v>735.68</v>
      </c>
    </row>
    <row r="416" spans="1:5" x14ac:dyDescent="0.3">
      <c r="A416" s="10" t="s">
        <v>72</v>
      </c>
      <c r="B416" s="10">
        <v>2025</v>
      </c>
      <c r="C416" s="10" t="s">
        <v>57</v>
      </c>
      <c r="D416" s="11" t="s">
        <v>66</v>
      </c>
      <c r="E416" s="12">
        <v>811.18</v>
      </c>
    </row>
    <row r="417" spans="1:5" x14ac:dyDescent="0.3">
      <c r="A417" s="10" t="s">
        <v>72</v>
      </c>
      <c r="B417" s="10">
        <v>2021</v>
      </c>
      <c r="C417" s="10" t="s">
        <v>57</v>
      </c>
      <c r="D417" s="11" t="s">
        <v>67</v>
      </c>
      <c r="E417" s="12">
        <v>1037.94</v>
      </c>
    </row>
    <row r="418" spans="1:5" x14ac:dyDescent="0.3">
      <c r="A418" s="10" t="s">
        <v>72</v>
      </c>
      <c r="B418" s="10">
        <v>2022</v>
      </c>
      <c r="C418" s="10" t="s">
        <v>57</v>
      </c>
      <c r="D418" s="11" t="s">
        <v>67</v>
      </c>
      <c r="E418" s="12">
        <v>1074.71</v>
      </c>
    </row>
    <row r="419" spans="1:5" x14ac:dyDescent="0.3">
      <c r="A419" s="10" t="s">
        <v>72</v>
      </c>
      <c r="B419" s="10">
        <v>2023</v>
      </c>
      <c r="C419" s="10" t="s">
        <v>57</v>
      </c>
      <c r="D419" s="11" t="s">
        <v>67</v>
      </c>
      <c r="E419" s="12">
        <v>1127.53</v>
      </c>
    </row>
    <row r="420" spans="1:5" x14ac:dyDescent="0.3">
      <c r="A420" s="10" t="s">
        <v>72</v>
      </c>
      <c r="B420" s="10">
        <v>2024</v>
      </c>
      <c r="C420" s="10" t="s">
        <v>57</v>
      </c>
      <c r="D420" s="11" t="s">
        <v>67</v>
      </c>
      <c r="E420" s="12">
        <v>1186.3800000000001</v>
      </c>
    </row>
    <row r="421" spans="1:5" x14ac:dyDescent="0.3">
      <c r="A421" s="10" t="s">
        <v>72</v>
      </c>
      <c r="B421" s="10">
        <v>2025</v>
      </c>
      <c r="C421" s="10" t="s">
        <v>57</v>
      </c>
      <c r="D421" s="11" t="s">
        <v>67</v>
      </c>
      <c r="E421" s="12">
        <v>1281.57</v>
      </c>
    </row>
    <row r="422" spans="1:5" x14ac:dyDescent="0.3">
      <c r="A422" s="10" t="s">
        <v>72</v>
      </c>
      <c r="B422" s="10">
        <v>2021</v>
      </c>
      <c r="C422" s="10" t="s">
        <v>57</v>
      </c>
      <c r="D422" s="11" t="s">
        <v>68</v>
      </c>
      <c r="E422" s="12">
        <v>496.26</v>
      </c>
    </row>
    <row r="423" spans="1:5" x14ac:dyDescent="0.3">
      <c r="A423" s="10" t="s">
        <v>72</v>
      </c>
      <c r="B423" s="10">
        <v>2022</v>
      </c>
      <c r="C423" s="10" t="s">
        <v>57</v>
      </c>
      <c r="D423" s="11" t="s">
        <v>68</v>
      </c>
      <c r="E423" s="12">
        <v>572.34</v>
      </c>
    </row>
    <row r="424" spans="1:5" x14ac:dyDescent="0.3">
      <c r="A424" s="10" t="s">
        <v>72</v>
      </c>
      <c r="B424" s="10">
        <v>2023</v>
      </c>
      <c r="C424" s="10" t="s">
        <v>57</v>
      </c>
      <c r="D424" s="11" t="s">
        <v>68</v>
      </c>
      <c r="E424" s="12">
        <v>646.76</v>
      </c>
    </row>
    <row r="425" spans="1:5" x14ac:dyDescent="0.3">
      <c r="A425" s="10" t="s">
        <v>72</v>
      </c>
      <c r="B425" s="10">
        <v>2024</v>
      </c>
      <c r="C425" s="10" t="s">
        <v>57</v>
      </c>
      <c r="D425" s="11" t="s">
        <v>68</v>
      </c>
      <c r="E425" s="12">
        <v>713.5</v>
      </c>
    </row>
    <row r="426" spans="1:5" x14ac:dyDescent="0.3">
      <c r="A426" s="10" t="s">
        <v>72</v>
      </c>
      <c r="B426" s="10">
        <v>2025</v>
      </c>
      <c r="C426" s="10" t="s">
        <v>57</v>
      </c>
      <c r="D426" s="11" t="s">
        <v>68</v>
      </c>
      <c r="E426" s="12">
        <v>785.41</v>
      </c>
    </row>
    <row r="427" spans="1:5" x14ac:dyDescent="0.3">
      <c r="A427" s="10" t="s">
        <v>73</v>
      </c>
      <c r="B427" s="10">
        <v>2021</v>
      </c>
      <c r="C427" s="10" t="s">
        <v>49</v>
      </c>
      <c r="D427" s="11" t="s">
        <v>50</v>
      </c>
      <c r="E427" s="12">
        <v>3070.58</v>
      </c>
    </row>
    <row r="428" spans="1:5" x14ac:dyDescent="0.3">
      <c r="A428" s="10" t="s">
        <v>73</v>
      </c>
      <c r="B428" s="10">
        <v>2022</v>
      </c>
      <c r="C428" s="10" t="s">
        <v>49</v>
      </c>
      <c r="D428" s="11" t="s">
        <v>50</v>
      </c>
      <c r="E428" s="12">
        <v>3189.29</v>
      </c>
    </row>
    <row r="429" spans="1:5" x14ac:dyDescent="0.3">
      <c r="A429" s="10" t="s">
        <v>73</v>
      </c>
      <c r="B429" s="10">
        <v>2023</v>
      </c>
      <c r="C429" s="10" t="s">
        <v>49</v>
      </c>
      <c r="D429" s="11" t="s">
        <v>50</v>
      </c>
      <c r="E429" s="12">
        <v>3312.59</v>
      </c>
    </row>
    <row r="430" spans="1:5" x14ac:dyDescent="0.3">
      <c r="A430" s="10" t="s">
        <v>73</v>
      </c>
      <c r="B430" s="10">
        <v>2024</v>
      </c>
      <c r="C430" s="10" t="s">
        <v>49</v>
      </c>
      <c r="D430" s="11" t="s">
        <v>50</v>
      </c>
      <c r="E430" s="12">
        <v>3440.66</v>
      </c>
    </row>
    <row r="431" spans="1:5" x14ac:dyDescent="0.3">
      <c r="A431" s="10" t="s">
        <v>73</v>
      </c>
      <c r="B431" s="10">
        <v>2025</v>
      </c>
      <c r="C431" s="10" t="s">
        <v>49</v>
      </c>
      <c r="D431" s="11" t="s">
        <v>50</v>
      </c>
      <c r="E431" s="12">
        <v>3573.67</v>
      </c>
    </row>
    <row r="432" spans="1:5" x14ac:dyDescent="0.3">
      <c r="A432" s="10" t="s">
        <v>73</v>
      </c>
      <c r="B432" s="10">
        <v>2021</v>
      </c>
      <c r="C432" s="10" t="s">
        <v>49</v>
      </c>
      <c r="D432" s="11" t="s">
        <v>51</v>
      </c>
      <c r="E432" s="12">
        <v>119.32</v>
      </c>
    </row>
    <row r="433" spans="1:5" x14ac:dyDescent="0.3">
      <c r="A433" s="10" t="s">
        <v>73</v>
      </c>
      <c r="B433" s="10">
        <v>2022</v>
      </c>
      <c r="C433" s="10" t="s">
        <v>49</v>
      </c>
      <c r="D433" s="11" t="s">
        <v>51</v>
      </c>
      <c r="E433" s="12">
        <v>123.08</v>
      </c>
    </row>
    <row r="434" spans="1:5" x14ac:dyDescent="0.3">
      <c r="A434" s="10" t="s">
        <v>73</v>
      </c>
      <c r="B434" s="10">
        <v>2023</v>
      </c>
      <c r="C434" s="10" t="s">
        <v>49</v>
      </c>
      <c r="D434" s="11" t="s">
        <v>51</v>
      </c>
      <c r="E434" s="12">
        <v>126.96</v>
      </c>
    </row>
    <row r="435" spans="1:5" x14ac:dyDescent="0.3">
      <c r="A435" s="10" t="s">
        <v>73</v>
      </c>
      <c r="B435" s="10">
        <v>2024</v>
      </c>
      <c r="C435" s="10" t="s">
        <v>49</v>
      </c>
      <c r="D435" s="11" t="s">
        <v>51</v>
      </c>
      <c r="E435" s="12">
        <v>130.96</v>
      </c>
    </row>
    <row r="436" spans="1:5" x14ac:dyDescent="0.3">
      <c r="A436" s="10" t="s">
        <v>73</v>
      </c>
      <c r="B436" s="10">
        <v>2025</v>
      </c>
      <c r="C436" s="10" t="s">
        <v>49</v>
      </c>
      <c r="D436" s="11" t="s">
        <v>51</v>
      </c>
      <c r="E436" s="12">
        <v>135.09</v>
      </c>
    </row>
    <row r="437" spans="1:5" x14ac:dyDescent="0.3">
      <c r="A437" s="10" t="s">
        <v>73</v>
      </c>
      <c r="B437" s="10">
        <v>2021</v>
      </c>
      <c r="C437" s="10" t="s">
        <v>52</v>
      </c>
      <c r="D437" s="11" t="s">
        <v>53</v>
      </c>
      <c r="E437" s="12">
        <v>716.62</v>
      </c>
    </row>
    <row r="438" spans="1:5" x14ac:dyDescent="0.3">
      <c r="A438" s="10" t="s">
        <v>73</v>
      </c>
      <c r="B438" s="10">
        <v>2022</v>
      </c>
      <c r="C438" s="10" t="s">
        <v>52</v>
      </c>
      <c r="D438" s="11" t="s">
        <v>53</v>
      </c>
      <c r="E438" s="12">
        <v>775.28</v>
      </c>
    </row>
    <row r="439" spans="1:5" x14ac:dyDescent="0.3">
      <c r="A439" s="10" t="s">
        <v>73</v>
      </c>
      <c r="B439" s="10">
        <v>2023</v>
      </c>
      <c r="C439" s="10" t="s">
        <v>52</v>
      </c>
      <c r="D439" s="11" t="s">
        <v>53</v>
      </c>
      <c r="E439" s="12">
        <v>838.74</v>
      </c>
    </row>
    <row r="440" spans="1:5" x14ac:dyDescent="0.3">
      <c r="A440" s="10" t="s">
        <v>73</v>
      </c>
      <c r="B440" s="10">
        <v>2024</v>
      </c>
      <c r="C440" s="10" t="s">
        <v>52</v>
      </c>
      <c r="D440" s="11" t="s">
        <v>53</v>
      </c>
      <c r="E440" s="12">
        <v>907.4</v>
      </c>
    </row>
    <row r="441" spans="1:5" x14ac:dyDescent="0.3">
      <c r="A441" s="10" t="s">
        <v>73</v>
      </c>
      <c r="B441" s="10">
        <v>2025</v>
      </c>
      <c r="C441" s="10" t="s">
        <v>52</v>
      </c>
      <c r="D441" s="11" t="s">
        <v>53</v>
      </c>
      <c r="E441" s="12">
        <v>981.67</v>
      </c>
    </row>
    <row r="442" spans="1:5" x14ac:dyDescent="0.3">
      <c r="A442" s="10" t="s">
        <v>73</v>
      </c>
      <c r="B442" s="10">
        <v>2021</v>
      </c>
      <c r="C442" s="10" t="s">
        <v>52</v>
      </c>
      <c r="D442" s="11" t="s">
        <v>54</v>
      </c>
      <c r="E442" s="12">
        <v>19.75</v>
      </c>
    </row>
    <row r="443" spans="1:5" x14ac:dyDescent="0.3">
      <c r="A443" s="10" t="s">
        <v>73</v>
      </c>
      <c r="B443" s="10">
        <v>2022</v>
      </c>
      <c r="C443" s="10" t="s">
        <v>52</v>
      </c>
      <c r="D443" s="11" t="s">
        <v>54</v>
      </c>
      <c r="E443" s="12">
        <v>21.39</v>
      </c>
    </row>
    <row r="444" spans="1:5" x14ac:dyDescent="0.3">
      <c r="A444" s="10" t="s">
        <v>73</v>
      </c>
      <c r="B444" s="10">
        <v>2023</v>
      </c>
      <c r="C444" s="10" t="s">
        <v>52</v>
      </c>
      <c r="D444" s="11" t="s">
        <v>54</v>
      </c>
      <c r="E444" s="12">
        <v>23.17</v>
      </c>
    </row>
    <row r="445" spans="1:5" x14ac:dyDescent="0.3">
      <c r="A445" s="10" t="s">
        <v>73</v>
      </c>
      <c r="B445" s="10">
        <v>2024</v>
      </c>
      <c r="C445" s="10" t="s">
        <v>52</v>
      </c>
      <c r="D445" s="11" t="s">
        <v>54</v>
      </c>
      <c r="E445" s="12">
        <v>25.09</v>
      </c>
    </row>
    <row r="446" spans="1:5" x14ac:dyDescent="0.3">
      <c r="A446" s="10" t="s">
        <v>73</v>
      </c>
      <c r="B446" s="10">
        <v>2025</v>
      </c>
      <c r="C446" s="10" t="s">
        <v>52</v>
      </c>
      <c r="D446" s="11" t="s">
        <v>54</v>
      </c>
      <c r="E446" s="12">
        <v>27.17</v>
      </c>
    </row>
    <row r="447" spans="1:5" x14ac:dyDescent="0.3">
      <c r="A447" s="10" t="s">
        <v>73</v>
      </c>
      <c r="B447" s="10">
        <v>2021</v>
      </c>
      <c r="C447" s="10" t="s">
        <v>52</v>
      </c>
      <c r="D447" s="11" t="s">
        <v>55</v>
      </c>
      <c r="E447" s="12">
        <v>10.84</v>
      </c>
    </row>
    <row r="448" spans="1:5" x14ac:dyDescent="0.3">
      <c r="A448" s="10" t="s">
        <v>73</v>
      </c>
      <c r="B448" s="10">
        <v>2022</v>
      </c>
      <c r="C448" s="10" t="s">
        <v>52</v>
      </c>
      <c r="D448" s="11" t="s">
        <v>55</v>
      </c>
      <c r="E448" s="12">
        <v>11.09</v>
      </c>
    </row>
    <row r="449" spans="1:5" x14ac:dyDescent="0.3">
      <c r="A449" s="10" t="s">
        <v>73</v>
      </c>
      <c r="B449" s="10">
        <v>2023</v>
      </c>
      <c r="C449" s="10" t="s">
        <v>52</v>
      </c>
      <c r="D449" s="11" t="s">
        <v>55</v>
      </c>
      <c r="E449" s="12">
        <v>11.35</v>
      </c>
    </row>
    <row r="450" spans="1:5" x14ac:dyDescent="0.3">
      <c r="A450" s="10" t="s">
        <v>73</v>
      </c>
      <c r="B450" s="10">
        <v>2024</v>
      </c>
      <c r="C450" s="10" t="s">
        <v>52</v>
      </c>
      <c r="D450" s="11" t="s">
        <v>55</v>
      </c>
      <c r="E450" s="12">
        <v>11.61</v>
      </c>
    </row>
    <row r="451" spans="1:5" x14ac:dyDescent="0.3">
      <c r="A451" s="10" t="s">
        <v>73</v>
      </c>
      <c r="B451" s="10">
        <v>2025</v>
      </c>
      <c r="C451" s="10" t="s">
        <v>52</v>
      </c>
      <c r="D451" s="11" t="s">
        <v>55</v>
      </c>
      <c r="E451" s="12">
        <v>11.88</v>
      </c>
    </row>
    <row r="452" spans="1:5" x14ac:dyDescent="0.3">
      <c r="A452" s="10" t="s">
        <v>73</v>
      </c>
      <c r="B452" s="10">
        <v>2021</v>
      </c>
      <c r="C452" s="10" t="s">
        <v>52</v>
      </c>
      <c r="D452" s="11" t="s">
        <v>56</v>
      </c>
      <c r="E452" s="12">
        <v>1458.17</v>
      </c>
    </row>
    <row r="453" spans="1:5" x14ac:dyDescent="0.3">
      <c r="A453" s="10" t="s">
        <v>73</v>
      </c>
      <c r="B453" s="10">
        <v>2022</v>
      </c>
      <c r="C453" s="10" t="s">
        <v>52</v>
      </c>
      <c r="D453" s="11" t="s">
        <v>56</v>
      </c>
      <c r="E453" s="12">
        <v>1560.61</v>
      </c>
    </row>
    <row r="454" spans="1:5" x14ac:dyDescent="0.3">
      <c r="A454" s="10" t="s">
        <v>73</v>
      </c>
      <c r="B454" s="10">
        <v>2023</v>
      </c>
      <c r="C454" s="10" t="s">
        <v>52</v>
      </c>
      <c r="D454" s="11" t="s">
        <v>56</v>
      </c>
      <c r="E454" s="12">
        <v>1670.25</v>
      </c>
    </row>
    <row r="455" spans="1:5" x14ac:dyDescent="0.3">
      <c r="A455" s="10" t="s">
        <v>73</v>
      </c>
      <c r="B455" s="10">
        <v>2024</v>
      </c>
      <c r="C455" s="10" t="s">
        <v>52</v>
      </c>
      <c r="D455" s="11" t="s">
        <v>56</v>
      </c>
      <c r="E455" s="12">
        <v>1787.59</v>
      </c>
    </row>
    <row r="456" spans="1:5" x14ac:dyDescent="0.3">
      <c r="A456" s="10" t="s">
        <v>73</v>
      </c>
      <c r="B456" s="10">
        <v>2025</v>
      </c>
      <c r="C456" s="10" t="s">
        <v>52</v>
      </c>
      <c r="D456" s="11" t="s">
        <v>56</v>
      </c>
      <c r="E456" s="12">
        <v>1913.17</v>
      </c>
    </row>
    <row r="457" spans="1:5" x14ac:dyDescent="0.3">
      <c r="A457" s="10" t="s">
        <v>73</v>
      </c>
      <c r="B457" s="10">
        <v>2021</v>
      </c>
      <c r="C457" s="10" t="s">
        <v>57</v>
      </c>
      <c r="D457" s="11" t="s">
        <v>58</v>
      </c>
      <c r="E457" s="12">
        <v>1376.93</v>
      </c>
    </row>
    <row r="458" spans="1:5" x14ac:dyDescent="0.3">
      <c r="A458" s="10" t="s">
        <v>73</v>
      </c>
      <c r="B458" s="10">
        <v>2022</v>
      </c>
      <c r="C458" s="10" t="s">
        <v>57</v>
      </c>
      <c r="D458" s="11" t="s">
        <v>58</v>
      </c>
      <c r="E458" s="12">
        <v>1515.98</v>
      </c>
    </row>
    <row r="459" spans="1:5" x14ac:dyDescent="0.3">
      <c r="A459" s="10" t="s">
        <v>73</v>
      </c>
      <c r="B459" s="10">
        <v>2023</v>
      </c>
      <c r="C459" s="10" t="s">
        <v>57</v>
      </c>
      <c r="D459" s="11" t="s">
        <v>58</v>
      </c>
      <c r="E459" s="12">
        <v>1669.07</v>
      </c>
    </row>
    <row r="460" spans="1:5" x14ac:dyDescent="0.3">
      <c r="A460" s="10" t="s">
        <v>73</v>
      </c>
      <c r="B460" s="10">
        <v>2024</v>
      </c>
      <c r="C460" s="10" t="s">
        <v>57</v>
      </c>
      <c r="D460" s="11" t="s">
        <v>58</v>
      </c>
      <c r="E460" s="12">
        <v>1837.62</v>
      </c>
    </row>
    <row r="461" spans="1:5" x14ac:dyDescent="0.3">
      <c r="A461" s="10" t="s">
        <v>73</v>
      </c>
      <c r="B461" s="10">
        <v>2025</v>
      </c>
      <c r="C461" s="10" t="s">
        <v>57</v>
      </c>
      <c r="D461" s="11" t="s">
        <v>58</v>
      </c>
      <c r="E461" s="12">
        <v>2023.2</v>
      </c>
    </row>
    <row r="462" spans="1:5" x14ac:dyDescent="0.3">
      <c r="A462" s="10" t="s">
        <v>73</v>
      </c>
      <c r="B462" s="10">
        <v>2021</v>
      </c>
      <c r="C462" s="10" t="s">
        <v>57</v>
      </c>
      <c r="D462" s="11" t="s">
        <v>59</v>
      </c>
      <c r="E462" s="12">
        <v>1832.22</v>
      </c>
    </row>
    <row r="463" spans="1:5" x14ac:dyDescent="0.3">
      <c r="A463" s="10" t="s">
        <v>73</v>
      </c>
      <c r="B463" s="10">
        <v>2022</v>
      </c>
      <c r="C463" s="10" t="s">
        <v>57</v>
      </c>
      <c r="D463" s="11" t="s">
        <v>59</v>
      </c>
      <c r="E463" s="12">
        <v>1992.43</v>
      </c>
    </row>
    <row r="464" spans="1:5" x14ac:dyDescent="0.3">
      <c r="A464" s="10" t="s">
        <v>73</v>
      </c>
      <c r="B464" s="10">
        <v>2023</v>
      </c>
      <c r="C464" s="10" t="s">
        <v>57</v>
      </c>
      <c r="D464" s="11" t="s">
        <v>59</v>
      </c>
      <c r="E464" s="12">
        <v>2166.65</v>
      </c>
    </row>
    <row r="465" spans="1:5" x14ac:dyDescent="0.3">
      <c r="A465" s="10" t="s">
        <v>73</v>
      </c>
      <c r="B465" s="10">
        <v>2024</v>
      </c>
      <c r="C465" s="10" t="s">
        <v>57</v>
      </c>
      <c r="D465" s="11" t="s">
        <v>59</v>
      </c>
      <c r="E465" s="12">
        <v>2356.1</v>
      </c>
    </row>
    <row r="466" spans="1:5" x14ac:dyDescent="0.3">
      <c r="A466" s="10" t="s">
        <v>73</v>
      </c>
      <c r="B466" s="10">
        <v>2025</v>
      </c>
      <c r="C466" s="10" t="s">
        <v>57</v>
      </c>
      <c r="D466" s="11" t="s">
        <v>59</v>
      </c>
      <c r="E466" s="12">
        <v>2562.12</v>
      </c>
    </row>
    <row r="467" spans="1:5" x14ac:dyDescent="0.3">
      <c r="A467" s="10" t="s">
        <v>73</v>
      </c>
      <c r="B467" s="10">
        <v>2021</v>
      </c>
      <c r="C467" s="10" t="s">
        <v>57</v>
      </c>
      <c r="D467" s="11" t="s">
        <v>60</v>
      </c>
      <c r="E467" s="12">
        <v>1488.19</v>
      </c>
    </row>
    <row r="468" spans="1:5" x14ac:dyDescent="0.3">
      <c r="A468" s="10" t="s">
        <v>73</v>
      </c>
      <c r="B468" s="10">
        <v>2022</v>
      </c>
      <c r="C468" s="10" t="s">
        <v>57</v>
      </c>
      <c r="D468" s="11" t="s">
        <v>60</v>
      </c>
      <c r="E468" s="12">
        <v>1725.73</v>
      </c>
    </row>
    <row r="469" spans="1:5" x14ac:dyDescent="0.3">
      <c r="A469" s="10" t="s">
        <v>73</v>
      </c>
      <c r="B469" s="10">
        <v>2023</v>
      </c>
      <c r="C469" s="10" t="s">
        <v>57</v>
      </c>
      <c r="D469" s="11" t="s">
        <v>60</v>
      </c>
      <c r="E469" s="12">
        <v>2001.19</v>
      </c>
    </row>
    <row r="470" spans="1:5" x14ac:dyDescent="0.3">
      <c r="A470" s="10" t="s">
        <v>73</v>
      </c>
      <c r="B470" s="10">
        <v>2024</v>
      </c>
      <c r="C470" s="10" t="s">
        <v>57</v>
      </c>
      <c r="D470" s="11" t="s">
        <v>60</v>
      </c>
      <c r="E470" s="12">
        <v>2320.61</v>
      </c>
    </row>
    <row r="471" spans="1:5" x14ac:dyDescent="0.3">
      <c r="A471" s="10" t="s">
        <v>73</v>
      </c>
      <c r="B471" s="10">
        <v>2025</v>
      </c>
      <c r="C471" s="10" t="s">
        <v>57</v>
      </c>
      <c r="D471" s="11" t="s">
        <v>60</v>
      </c>
      <c r="E471" s="12"/>
    </row>
    <row r="472" spans="1:5" x14ac:dyDescent="0.3">
      <c r="A472" s="10" t="s">
        <v>73</v>
      </c>
      <c r="B472" s="10">
        <v>2021</v>
      </c>
      <c r="C472" s="10" t="s">
        <v>57</v>
      </c>
      <c r="D472" s="11" t="s">
        <v>61</v>
      </c>
      <c r="E472" s="12">
        <v>932.3</v>
      </c>
    </row>
    <row r="473" spans="1:5" x14ac:dyDescent="0.3">
      <c r="A473" s="10" t="s">
        <v>73</v>
      </c>
      <c r="B473" s="10">
        <v>2022</v>
      </c>
      <c r="C473" s="10" t="s">
        <v>57</v>
      </c>
      <c r="D473" s="11" t="s">
        <v>61</v>
      </c>
      <c r="E473" s="12">
        <v>920.1</v>
      </c>
    </row>
    <row r="474" spans="1:5" x14ac:dyDescent="0.3">
      <c r="A474" s="10" t="s">
        <v>73</v>
      </c>
      <c r="B474" s="10">
        <v>2023</v>
      </c>
      <c r="C474" s="10" t="s">
        <v>57</v>
      </c>
      <c r="D474" s="11" t="s">
        <v>61</v>
      </c>
      <c r="E474" s="12">
        <v>908.06</v>
      </c>
    </row>
    <row r="475" spans="1:5" x14ac:dyDescent="0.3">
      <c r="A475" s="10" t="s">
        <v>73</v>
      </c>
      <c r="B475" s="10">
        <v>2024</v>
      </c>
      <c r="C475" s="10" t="s">
        <v>57</v>
      </c>
      <c r="D475" s="11" t="s">
        <v>61</v>
      </c>
      <c r="E475" s="12">
        <v>896.18</v>
      </c>
    </row>
    <row r="476" spans="1:5" x14ac:dyDescent="0.3">
      <c r="A476" s="10" t="s">
        <v>73</v>
      </c>
      <c r="B476" s="10">
        <v>2025</v>
      </c>
      <c r="C476" s="10" t="s">
        <v>57</v>
      </c>
      <c r="D476" s="11" t="s">
        <v>61</v>
      </c>
      <c r="E476" s="12">
        <v>884.45</v>
      </c>
    </row>
    <row r="477" spans="1:5" x14ac:dyDescent="0.3">
      <c r="A477" s="10" t="s">
        <v>73</v>
      </c>
      <c r="B477" s="10">
        <v>2021</v>
      </c>
      <c r="C477" s="10" t="s">
        <v>57</v>
      </c>
      <c r="D477" s="11" t="s">
        <v>62</v>
      </c>
      <c r="E477" s="12">
        <v>466.84</v>
      </c>
    </row>
    <row r="478" spans="1:5" x14ac:dyDescent="0.3">
      <c r="A478" s="10" t="s">
        <v>73</v>
      </c>
      <c r="B478" s="10">
        <v>2022</v>
      </c>
      <c r="C478" s="10" t="s">
        <v>57</v>
      </c>
      <c r="D478" s="11" t="s">
        <v>62</v>
      </c>
      <c r="E478" s="12">
        <v>564.16</v>
      </c>
    </row>
    <row r="479" spans="1:5" x14ac:dyDescent="0.3">
      <c r="A479" s="10" t="s">
        <v>73</v>
      </c>
      <c r="B479" s="10">
        <v>2023</v>
      </c>
      <c r="C479" s="10" t="s">
        <v>57</v>
      </c>
      <c r="D479" s="11" t="s">
        <v>62</v>
      </c>
      <c r="E479" s="12">
        <v>681.77</v>
      </c>
    </row>
    <row r="480" spans="1:5" x14ac:dyDescent="0.3">
      <c r="A480" s="10" t="s">
        <v>73</v>
      </c>
      <c r="B480" s="10">
        <v>2024</v>
      </c>
      <c r="C480" s="10" t="s">
        <v>57</v>
      </c>
      <c r="D480" s="11" t="s">
        <v>62</v>
      </c>
      <c r="E480" s="12">
        <v>823.89</v>
      </c>
    </row>
    <row r="481" spans="1:5" x14ac:dyDescent="0.3">
      <c r="A481" s="10" t="s">
        <v>73</v>
      </c>
      <c r="B481" s="10">
        <v>2025</v>
      </c>
      <c r="C481" s="10" t="s">
        <v>57</v>
      </c>
      <c r="D481" s="11" t="s">
        <v>62</v>
      </c>
      <c r="E481" s="12">
        <v>995.65</v>
      </c>
    </row>
    <row r="482" spans="1:5" x14ac:dyDescent="0.3">
      <c r="A482" s="10" t="s">
        <v>73</v>
      </c>
      <c r="B482" s="10">
        <v>2021</v>
      </c>
      <c r="C482" s="10" t="s">
        <v>57</v>
      </c>
      <c r="D482" s="11" t="s">
        <v>63</v>
      </c>
      <c r="E482" s="12">
        <v>646.29999999999995</v>
      </c>
    </row>
    <row r="483" spans="1:5" x14ac:dyDescent="0.3">
      <c r="A483" s="10" t="s">
        <v>73</v>
      </c>
      <c r="B483" s="10">
        <v>2022</v>
      </c>
      <c r="C483" s="10" t="s">
        <v>57</v>
      </c>
      <c r="D483" s="11" t="s">
        <v>63</v>
      </c>
      <c r="E483" s="12">
        <v>686.32</v>
      </c>
    </row>
    <row r="484" spans="1:5" x14ac:dyDescent="0.3">
      <c r="A484" s="10" t="s">
        <v>73</v>
      </c>
      <c r="B484" s="10">
        <v>2023</v>
      </c>
      <c r="C484" s="10" t="s">
        <v>57</v>
      </c>
      <c r="D484" s="11" t="s">
        <v>63</v>
      </c>
      <c r="E484" s="12">
        <v>728.82</v>
      </c>
    </row>
    <row r="485" spans="1:5" x14ac:dyDescent="0.3">
      <c r="A485" s="10" t="s">
        <v>73</v>
      </c>
      <c r="B485" s="10">
        <v>2024</v>
      </c>
      <c r="C485" s="10" t="s">
        <v>57</v>
      </c>
      <c r="D485" s="11" t="s">
        <v>63</v>
      </c>
      <c r="E485" s="12">
        <v>773.95</v>
      </c>
    </row>
    <row r="486" spans="1:5" x14ac:dyDescent="0.3">
      <c r="A486" s="10" t="s">
        <v>73</v>
      </c>
      <c r="B486" s="10">
        <v>2025</v>
      </c>
      <c r="C486" s="10" t="s">
        <v>57</v>
      </c>
      <c r="D486" s="11" t="s">
        <v>63</v>
      </c>
      <c r="E486" s="12">
        <v>821.87</v>
      </c>
    </row>
    <row r="487" spans="1:5" x14ac:dyDescent="0.3">
      <c r="A487" s="10" t="s">
        <v>73</v>
      </c>
      <c r="B487" s="10">
        <v>2021</v>
      </c>
      <c r="C487" s="10" t="s">
        <v>57</v>
      </c>
      <c r="D487" s="11" t="s">
        <v>64</v>
      </c>
      <c r="E487" s="12">
        <v>107.65</v>
      </c>
    </row>
    <row r="488" spans="1:5" x14ac:dyDescent="0.3">
      <c r="A488" s="10" t="s">
        <v>73</v>
      </c>
      <c r="B488" s="10">
        <v>2022</v>
      </c>
      <c r="C488" s="10" t="s">
        <v>57</v>
      </c>
      <c r="D488" s="11" t="s">
        <v>64</v>
      </c>
      <c r="E488" s="12">
        <v>121.41</v>
      </c>
    </row>
    <row r="489" spans="1:5" x14ac:dyDescent="0.3">
      <c r="A489" s="10" t="s">
        <v>73</v>
      </c>
      <c r="B489" s="10">
        <v>2023</v>
      </c>
      <c r="C489" s="10" t="s">
        <v>57</v>
      </c>
      <c r="D489" s="11" t="s">
        <v>64</v>
      </c>
      <c r="E489" s="12">
        <v>136.93</v>
      </c>
    </row>
    <row r="490" spans="1:5" x14ac:dyDescent="0.3">
      <c r="A490" s="10" t="s">
        <v>73</v>
      </c>
      <c r="B490" s="10">
        <v>2024</v>
      </c>
      <c r="C490" s="10" t="s">
        <v>57</v>
      </c>
      <c r="D490" s="11" t="s">
        <v>64</v>
      </c>
      <c r="E490" s="12">
        <v>154.43</v>
      </c>
    </row>
    <row r="491" spans="1:5" x14ac:dyDescent="0.3">
      <c r="A491" s="10" t="s">
        <v>73</v>
      </c>
      <c r="B491" s="10">
        <v>2025</v>
      </c>
      <c r="C491" s="10" t="s">
        <v>57</v>
      </c>
      <c r="D491" s="11" t="s">
        <v>64</v>
      </c>
      <c r="E491" s="12">
        <v>174.17</v>
      </c>
    </row>
    <row r="492" spans="1:5" x14ac:dyDescent="0.3">
      <c r="A492" s="10" t="s">
        <v>73</v>
      </c>
      <c r="B492" s="10">
        <v>2021</v>
      </c>
      <c r="C492" s="10" t="s">
        <v>57</v>
      </c>
      <c r="D492" s="11" t="s">
        <v>65</v>
      </c>
      <c r="E492" s="12">
        <v>393.77</v>
      </c>
    </row>
    <row r="493" spans="1:5" x14ac:dyDescent="0.3">
      <c r="A493" s="10" t="s">
        <v>73</v>
      </c>
      <c r="B493" s="10">
        <v>2022</v>
      </c>
      <c r="C493" s="10" t="s">
        <v>57</v>
      </c>
      <c r="D493" s="11" t="s">
        <v>65</v>
      </c>
      <c r="E493" s="12">
        <v>408.83</v>
      </c>
    </row>
    <row r="494" spans="1:5" x14ac:dyDescent="0.3">
      <c r="A494" s="10" t="s">
        <v>73</v>
      </c>
      <c r="B494" s="10">
        <v>2023</v>
      </c>
      <c r="C494" s="10" t="s">
        <v>57</v>
      </c>
      <c r="D494" s="11" t="s">
        <v>65</v>
      </c>
      <c r="E494" s="12">
        <v>424.47</v>
      </c>
    </row>
    <row r="495" spans="1:5" x14ac:dyDescent="0.3">
      <c r="A495" s="10" t="s">
        <v>73</v>
      </c>
      <c r="B495" s="10">
        <v>2024</v>
      </c>
      <c r="C495" s="10" t="s">
        <v>57</v>
      </c>
      <c r="D495" s="11" t="s">
        <v>65</v>
      </c>
      <c r="E495" s="12">
        <v>440.7</v>
      </c>
    </row>
    <row r="496" spans="1:5" x14ac:dyDescent="0.3">
      <c r="A496" s="10" t="s">
        <v>73</v>
      </c>
      <c r="B496" s="10">
        <v>2025</v>
      </c>
      <c r="C496" s="10" t="s">
        <v>57</v>
      </c>
      <c r="D496" s="11" t="s">
        <v>65</v>
      </c>
      <c r="E496" s="12">
        <v>457.55</v>
      </c>
    </row>
    <row r="497" spans="1:5" x14ac:dyDescent="0.3">
      <c r="A497" s="10" t="s">
        <v>73</v>
      </c>
      <c r="B497" s="10">
        <v>2021</v>
      </c>
      <c r="C497" s="10" t="s">
        <v>57</v>
      </c>
      <c r="D497" s="11" t="s">
        <v>66</v>
      </c>
      <c r="E497" s="12">
        <v>326</v>
      </c>
    </row>
    <row r="498" spans="1:5" x14ac:dyDescent="0.3">
      <c r="A498" s="10" t="s">
        <v>73</v>
      </c>
      <c r="B498" s="10">
        <v>2022</v>
      </c>
      <c r="C498" s="10" t="s">
        <v>57</v>
      </c>
      <c r="D498" s="11" t="s">
        <v>66</v>
      </c>
      <c r="E498" s="12">
        <v>329.3</v>
      </c>
    </row>
    <row r="499" spans="1:5" x14ac:dyDescent="0.3">
      <c r="A499" s="10" t="s">
        <v>73</v>
      </c>
      <c r="B499" s="10">
        <v>2023</v>
      </c>
      <c r="C499" s="10" t="s">
        <v>57</v>
      </c>
      <c r="D499" s="11" t="s">
        <v>66</v>
      </c>
      <c r="E499" s="12">
        <v>332.63</v>
      </c>
    </row>
    <row r="500" spans="1:5" x14ac:dyDescent="0.3">
      <c r="A500" s="10" t="s">
        <v>73</v>
      </c>
      <c r="B500" s="10">
        <v>2024</v>
      </c>
      <c r="C500" s="10" t="s">
        <v>57</v>
      </c>
      <c r="D500" s="11" t="s">
        <v>66</v>
      </c>
      <c r="E500" s="12">
        <v>336</v>
      </c>
    </row>
    <row r="501" spans="1:5" x14ac:dyDescent="0.3">
      <c r="A501" s="10" t="s">
        <v>73</v>
      </c>
      <c r="B501" s="10">
        <v>2025</v>
      </c>
      <c r="C501" s="10" t="s">
        <v>57</v>
      </c>
      <c r="D501" s="11" t="s">
        <v>66</v>
      </c>
      <c r="E501" s="12">
        <v>339.4</v>
      </c>
    </row>
    <row r="502" spans="1:5" x14ac:dyDescent="0.3">
      <c r="A502" s="10" t="s">
        <v>73</v>
      </c>
      <c r="B502" s="10">
        <v>2021</v>
      </c>
      <c r="C502" s="10" t="s">
        <v>57</v>
      </c>
      <c r="D502" s="11" t="s">
        <v>67</v>
      </c>
      <c r="E502" s="12">
        <v>346.49</v>
      </c>
    </row>
    <row r="503" spans="1:5" x14ac:dyDescent="0.3">
      <c r="A503" s="10" t="s">
        <v>73</v>
      </c>
      <c r="B503" s="10">
        <v>2022</v>
      </c>
      <c r="C503" s="10" t="s">
        <v>57</v>
      </c>
      <c r="D503" s="11" t="s">
        <v>67</v>
      </c>
      <c r="E503" s="12">
        <v>359.63</v>
      </c>
    </row>
    <row r="504" spans="1:5" x14ac:dyDescent="0.3">
      <c r="A504" s="10" t="s">
        <v>73</v>
      </c>
      <c r="B504" s="10">
        <v>2023</v>
      </c>
      <c r="C504" s="10" t="s">
        <v>57</v>
      </c>
      <c r="D504" s="11" t="s">
        <v>67</v>
      </c>
      <c r="E504" s="12">
        <v>373.27</v>
      </c>
    </row>
    <row r="505" spans="1:5" x14ac:dyDescent="0.3">
      <c r="A505" s="10" t="s">
        <v>73</v>
      </c>
      <c r="B505" s="10">
        <v>2024</v>
      </c>
      <c r="C505" s="10" t="s">
        <v>57</v>
      </c>
      <c r="D505" s="11" t="s">
        <v>67</v>
      </c>
      <c r="E505" s="12">
        <v>387.42</v>
      </c>
    </row>
    <row r="506" spans="1:5" x14ac:dyDescent="0.3">
      <c r="A506" s="10" t="s">
        <v>73</v>
      </c>
      <c r="B506" s="10">
        <v>2025</v>
      </c>
      <c r="C506" s="10" t="s">
        <v>57</v>
      </c>
      <c r="D506" s="11" t="s">
        <v>67</v>
      </c>
      <c r="E506" s="12">
        <v>402.12</v>
      </c>
    </row>
    <row r="507" spans="1:5" x14ac:dyDescent="0.3">
      <c r="A507" s="10" t="s">
        <v>73</v>
      </c>
      <c r="B507" s="10">
        <v>2021</v>
      </c>
      <c r="C507" s="10" t="s">
        <v>57</v>
      </c>
      <c r="D507" s="11" t="s">
        <v>68</v>
      </c>
      <c r="E507" s="12">
        <v>198.66</v>
      </c>
    </row>
    <row r="508" spans="1:5" x14ac:dyDescent="0.3">
      <c r="A508" s="10" t="s">
        <v>73</v>
      </c>
      <c r="B508" s="10">
        <v>2022</v>
      </c>
      <c r="C508" s="10" t="s">
        <v>57</v>
      </c>
      <c r="D508" s="11" t="s">
        <v>68</v>
      </c>
      <c r="E508" s="12">
        <v>227.61</v>
      </c>
    </row>
    <row r="509" spans="1:5" x14ac:dyDescent="0.3">
      <c r="A509" s="10" t="s">
        <v>73</v>
      </c>
      <c r="B509" s="10">
        <v>2023</v>
      </c>
      <c r="C509" s="10" t="s">
        <v>57</v>
      </c>
      <c r="D509" s="11" t="s">
        <v>68</v>
      </c>
      <c r="E509" s="12">
        <v>260.77999999999997</v>
      </c>
    </row>
    <row r="510" spans="1:5" x14ac:dyDescent="0.3">
      <c r="A510" s="10" t="s">
        <v>73</v>
      </c>
      <c r="B510" s="10">
        <v>2024</v>
      </c>
      <c r="C510" s="10" t="s">
        <v>57</v>
      </c>
      <c r="D510" s="11" t="s">
        <v>68</v>
      </c>
      <c r="E510" s="12">
        <v>298.77999999999997</v>
      </c>
    </row>
    <row r="511" spans="1:5" x14ac:dyDescent="0.3">
      <c r="A511" s="10" t="s">
        <v>73</v>
      </c>
      <c r="B511" s="10">
        <v>2025</v>
      </c>
      <c r="C511" s="10" t="s">
        <v>57</v>
      </c>
      <c r="D511" s="11" t="s">
        <v>68</v>
      </c>
      <c r="E511" s="12">
        <v>342.32</v>
      </c>
    </row>
    <row r="512" spans="1:5" x14ac:dyDescent="0.3">
      <c r="A512" s="10" t="s">
        <v>74</v>
      </c>
      <c r="B512" s="10">
        <v>2021</v>
      </c>
      <c r="C512" s="10" t="s">
        <v>49</v>
      </c>
      <c r="D512" s="11" t="s">
        <v>50</v>
      </c>
      <c r="E512" s="12">
        <v>4521.82</v>
      </c>
    </row>
    <row r="513" spans="1:5" x14ac:dyDescent="0.3">
      <c r="A513" s="10" t="s">
        <v>74</v>
      </c>
      <c r="B513" s="10">
        <v>2022</v>
      </c>
      <c r="C513" s="10" t="s">
        <v>49</v>
      </c>
      <c r="D513" s="11" t="s">
        <v>50</v>
      </c>
      <c r="E513" s="12">
        <v>4692.1400000000003</v>
      </c>
    </row>
    <row r="514" spans="1:5" x14ac:dyDescent="0.3">
      <c r="A514" s="10" t="s">
        <v>74</v>
      </c>
      <c r="B514" s="10">
        <v>2023</v>
      </c>
      <c r="C514" s="10" t="s">
        <v>49</v>
      </c>
      <c r="D514" s="11" t="s">
        <v>50</v>
      </c>
      <c r="E514" s="12">
        <v>4883.33</v>
      </c>
    </row>
    <row r="515" spans="1:5" x14ac:dyDescent="0.3">
      <c r="A515" s="10" t="s">
        <v>74</v>
      </c>
      <c r="B515" s="10">
        <v>2024</v>
      </c>
      <c r="C515" s="10" t="s">
        <v>49</v>
      </c>
      <c r="D515" s="11" t="s">
        <v>50</v>
      </c>
      <c r="E515" s="12">
        <v>5136.05</v>
      </c>
    </row>
    <row r="516" spans="1:5" x14ac:dyDescent="0.3">
      <c r="A516" s="10" t="s">
        <v>74</v>
      </c>
      <c r="B516" s="10">
        <v>2025</v>
      </c>
      <c r="C516" s="10" t="s">
        <v>49</v>
      </c>
      <c r="D516" s="11" t="s">
        <v>50</v>
      </c>
      <c r="E516" s="12">
        <v>5408.96</v>
      </c>
    </row>
    <row r="517" spans="1:5" x14ac:dyDescent="0.3">
      <c r="A517" s="10" t="s">
        <v>74</v>
      </c>
      <c r="B517" s="10">
        <v>2021</v>
      </c>
      <c r="C517" s="10" t="s">
        <v>49</v>
      </c>
      <c r="D517" s="11" t="s">
        <v>51</v>
      </c>
      <c r="E517" s="12">
        <v>554.41</v>
      </c>
    </row>
    <row r="518" spans="1:5" x14ac:dyDescent="0.3">
      <c r="A518" s="10" t="s">
        <v>74</v>
      </c>
      <c r="B518" s="10">
        <v>2022</v>
      </c>
      <c r="C518" s="10" t="s">
        <v>49</v>
      </c>
      <c r="D518" s="11" t="s">
        <v>51</v>
      </c>
      <c r="E518" s="12">
        <v>614.61</v>
      </c>
    </row>
    <row r="519" spans="1:5" x14ac:dyDescent="0.3">
      <c r="A519" s="10" t="s">
        <v>74</v>
      </c>
      <c r="B519" s="10">
        <v>2023</v>
      </c>
      <c r="C519" s="10" t="s">
        <v>49</v>
      </c>
      <c r="D519" s="11" t="s">
        <v>51</v>
      </c>
      <c r="E519" s="12">
        <v>676.06</v>
      </c>
    </row>
    <row r="520" spans="1:5" x14ac:dyDescent="0.3">
      <c r="A520" s="10" t="s">
        <v>74</v>
      </c>
      <c r="B520" s="10">
        <v>2024</v>
      </c>
      <c r="C520" s="10" t="s">
        <v>49</v>
      </c>
      <c r="D520" s="11" t="s">
        <v>51</v>
      </c>
      <c r="E520" s="12">
        <v>732.5</v>
      </c>
    </row>
    <row r="521" spans="1:5" x14ac:dyDescent="0.3">
      <c r="A521" s="10" t="s">
        <v>74</v>
      </c>
      <c r="B521" s="10">
        <v>2025</v>
      </c>
      <c r="C521" s="10" t="s">
        <v>49</v>
      </c>
      <c r="D521" s="11" t="s">
        <v>51</v>
      </c>
      <c r="E521" s="12">
        <v>768.39</v>
      </c>
    </row>
    <row r="522" spans="1:5" x14ac:dyDescent="0.3">
      <c r="A522" s="10" t="s">
        <v>74</v>
      </c>
      <c r="B522" s="10">
        <v>2021</v>
      </c>
      <c r="C522" s="10" t="s">
        <v>52</v>
      </c>
      <c r="D522" s="11" t="s">
        <v>53</v>
      </c>
      <c r="E522" s="12">
        <v>684.23</v>
      </c>
    </row>
    <row r="523" spans="1:5" x14ac:dyDescent="0.3">
      <c r="A523" s="10" t="s">
        <v>74</v>
      </c>
      <c r="B523" s="10">
        <v>2022</v>
      </c>
      <c r="C523" s="10" t="s">
        <v>52</v>
      </c>
      <c r="D523" s="11" t="s">
        <v>53</v>
      </c>
      <c r="E523" s="12">
        <v>740.48</v>
      </c>
    </row>
    <row r="524" spans="1:5" x14ac:dyDescent="0.3">
      <c r="A524" s="10" t="s">
        <v>74</v>
      </c>
      <c r="B524" s="10">
        <v>2023</v>
      </c>
      <c r="C524" s="10" t="s">
        <v>52</v>
      </c>
      <c r="D524" s="11" t="s">
        <v>53</v>
      </c>
      <c r="E524" s="12">
        <v>774.05</v>
      </c>
    </row>
    <row r="525" spans="1:5" x14ac:dyDescent="0.3">
      <c r="A525" s="10" t="s">
        <v>74</v>
      </c>
      <c r="B525" s="10">
        <v>2024</v>
      </c>
      <c r="C525" s="10" t="s">
        <v>52</v>
      </c>
      <c r="D525" s="11" t="s">
        <v>53</v>
      </c>
      <c r="E525" s="12">
        <v>812.24</v>
      </c>
    </row>
    <row r="526" spans="1:5" x14ac:dyDescent="0.3">
      <c r="A526" s="10" t="s">
        <v>74</v>
      </c>
      <c r="B526" s="10">
        <v>2025</v>
      </c>
      <c r="C526" s="10" t="s">
        <v>52</v>
      </c>
      <c r="D526" s="11" t="s">
        <v>53</v>
      </c>
      <c r="E526" s="12">
        <v>885.28</v>
      </c>
    </row>
    <row r="527" spans="1:5" x14ac:dyDescent="0.3">
      <c r="A527" s="10" t="s">
        <v>74</v>
      </c>
      <c r="B527" s="10">
        <v>2021</v>
      </c>
      <c r="C527" s="10" t="s">
        <v>52</v>
      </c>
      <c r="D527" s="11" t="s">
        <v>54</v>
      </c>
      <c r="E527" s="12">
        <v>15.35</v>
      </c>
    </row>
    <row r="528" spans="1:5" x14ac:dyDescent="0.3">
      <c r="A528" s="10" t="s">
        <v>74</v>
      </c>
      <c r="B528" s="10">
        <v>2022</v>
      </c>
      <c r="C528" s="10" t="s">
        <v>52</v>
      </c>
      <c r="D528" s="11" t="s">
        <v>54</v>
      </c>
      <c r="E528" s="12">
        <v>17.18</v>
      </c>
    </row>
    <row r="529" spans="1:5" x14ac:dyDescent="0.3">
      <c r="A529" s="10" t="s">
        <v>74</v>
      </c>
      <c r="B529" s="10">
        <v>2023</v>
      </c>
      <c r="C529" s="10" t="s">
        <v>52</v>
      </c>
      <c r="D529" s="11" t="s">
        <v>54</v>
      </c>
      <c r="E529" s="12">
        <v>19.350000000000001</v>
      </c>
    </row>
    <row r="530" spans="1:5" x14ac:dyDescent="0.3">
      <c r="A530" s="10" t="s">
        <v>74</v>
      </c>
      <c r="B530" s="10">
        <v>2024</v>
      </c>
      <c r="C530" s="10" t="s">
        <v>52</v>
      </c>
      <c r="D530" s="11" t="s">
        <v>54</v>
      </c>
      <c r="E530" s="12">
        <v>19.579999999999998</v>
      </c>
    </row>
    <row r="531" spans="1:5" x14ac:dyDescent="0.3">
      <c r="A531" s="10" t="s">
        <v>74</v>
      </c>
      <c r="B531" s="10">
        <v>2025</v>
      </c>
      <c r="C531" s="10" t="s">
        <v>52</v>
      </c>
      <c r="D531" s="11" t="s">
        <v>54</v>
      </c>
      <c r="E531" s="12">
        <v>21.12</v>
      </c>
    </row>
    <row r="532" spans="1:5" x14ac:dyDescent="0.3">
      <c r="A532" s="10" t="s">
        <v>74</v>
      </c>
      <c r="B532" s="10">
        <v>2021</v>
      </c>
      <c r="C532" s="10" t="s">
        <v>52</v>
      </c>
      <c r="D532" s="11" t="s">
        <v>55</v>
      </c>
      <c r="E532" s="12">
        <v>21.95</v>
      </c>
    </row>
    <row r="533" spans="1:5" x14ac:dyDescent="0.3">
      <c r="A533" s="10" t="s">
        <v>74</v>
      </c>
      <c r="B533" s="10">
        <v>2022</v>
      </c>
      <c r="C533" s="10" t="s">
        <v>52</v>
      </c>
      <c r="D533" s="11" t="s">
        <v>55</v>
      </c>
      <c r="E533" s="12">
        <v>22.69</v>
      </c>
    </row>
    <row r="534" spans="1:5" x14ac:dyDescent="0.3">
      <c r="A534" s="10" t="s">
        <v>74</v>
      </c>
      <c r="B534" s="10">
        <v>2023</v>
      </c>
      <c r="C534" s="10" t="s">
        <v>52</v>
      </c>
      <c r="D534" s="11" t="s">
        <v>55</v>
      </c>
      <c r="E534" s="12">
        <v>24.56</v>
      </c>
    </row>
    <row r="535" spans="1:5" x14ac:dyDescent="0.3">
      <c r="A535" s="10" t="s">
        <v>74</v>
      </c>
      <c r="B535" s="10">
        <v>2024</v>
      </c>
      <c r="C535" s="10" t="s">
        <v>52</v>
      </c>
      <c r="D535" s="11" t="s">
        <v>55</v>
      </c>
      <c r="E535" s="12">
        <v>26.07</v>
      </c>
    </row>
    <row r="536" spans="1:5" x14ac:dyDescent="0.3">
      <c r="A536" s="10" t="s">
        <v>74</v>
      </c>
      <c r="B536" s="10">
        <v>2025</v>
      </c>
      <c r="C536" s="10" t="s">
        <v>52</v>
      </c>
      <c r="D536" s="11" t="s">
        <v>55</v>
      </c>
      <c r="E536" s="12">
        <v>26.78</v>
      </c>
    </row>
    <row r="537" spans="1:5" x14ac:dyDescent="0.3">
      <c r="A537" s="10" t="s">
        <v>74</v>
      </c>
      <c r="B537" s="10">
        <v>2021</v>
      </c>
      <c r="C537" s="10" t="s">
        <v>52</v>
      </c>
      <c r="D537" s="11" t="s">
        <v>56</v>
      </c>
      <c r="E537" s="12">
        <v>1180.1400000000001</v>
      </c>
    </row>
    <row r="538" spans="1:5" x14ac:dyDescent="0.3">
      <c r="A538" s="10" t="s">
        <v>74</v>
      </c>
      <c r="B538" s="10">
        <v>2022</v>
      </c>
      <c r="C538" s="10" t="s">
        <v>52</v>
      </c>
      <c r="D538" s="11" t="s">
        <v>56</v>
      </c>
      <c r="E538" s="12">
        <v>1270.81</v>
      </c>
    </row>
    <row r="539" spans="1:5" x14ac:dyDescent="0.3">
      <c r="A539" s="10" t="s">
        <v>74</v>
      </c>
      <c r="B539" s="10">
        <v>2023</v>
      </c>
      <c r="C539" s="10" t="s">
        <v>52</v>
      </c>
      <c r="D539" s="11" t="s">
        <v>56</v>
      </c>
      <c r="E539" s="12">
        <v>1318.02</v>
      </c>
    </row>
    <row r="540" spans="1:5" x14ac:dyDescent="0.3">
      <c r="A540" s="10" t="s">
        <v>74</v>
      </c>
      <c r="B540" s="10">
        <v>2024</v>
      </c>
      <c r="C540" s="10" t="s">
        <v>52</v>
      </c>
      <c r="D540" s="11" t="s">
        <v>56</v>
      </c>
      <c r="E540" s="12">
        <v>1388.94</v>
      </c>
    </row>
    <row r="541" spans="1:5" x14ac:dyDescent="0.3">
      <c r="A541" s="10" t="s">
        <v>74</v>
      </c>
      <c r="B541" s="10">
        <v>2025</v>
      </c>
      <c r="C541" s="10" t="s">
        <v>52</v>
      </c>
      <c r="D541" s="11" t="s">
        <v>56</v>
      </c>
      <c r="E541" s="12">
        <v>1463.97</v>
      </c>
    </row>
    <row r="542" spans="1:5" x14ac:dyDescent="0.3">
      <c r="A542" s="10" t="s">
        <v>74</v>
      </c>
      <c r="B542" s="10">
        <v>2021</v>
      </c>
      <c r="C542" s="10" t="s">
        <v>57</v>
      </c>
      <c r="D542" s="11" t="s">
        <v>58</v>
      </c>
      <c r="E542" s="12">
        <v>906.87</v>
      </c>
    </row>
    <row r="543" spans="1:5" x14ac:dyDescent="0.3">
      <c r="A543" s="10" t="s">
        <v>74</v>
      </c>
      <c r="B543" s="10">
        <v>2022</v>
      </c>
      <c r="C543" s="10" t="s">
        <v>57</v>
      </c>
      <c r="D543" s="11" t="s">
        <v>58</v>
      </c>
      <c r="E543" s="12">
        <v>1005.92</v>
      </c>
    </row>
    <row r="544" spans="1:5" x14ac:dyDescent="0.3">
      <c r="A544" s="10" t="s">
        <v>74</v>
      </c>
      <c r="B544" s="10">
        <v>2023</v>
      </c>
      <c r="C544" s="10" t="s">
        <v>57</v>
      </c>
      <c r="D544" s="11" t="s">
        <v>58</v>
      </c>
      <c r="E544" s="12">
        <v>1082.72</v>
      </c>
    </row>
    <row r="545" spans="1:5" x14ac:dyDescent="0.3">
      <c r="A545" s="10" t="s">
        <v>74</v>
      </c>
      <c r="B545" s="10">
        <v>2024</v>
      </c>
      <c r="C545" s="10" t="s">
        <v>57</v>
      </c>
      <c r="D545" s="11" t="s">
        <v>58</v>
      </c>
      <c r="E545" s="12">
        <v>1083.92</v>
      </c>
    </row>
    <row r="546" spans="1:5" x14ac:dyDescent="0.3">
      <c r="A546" s="10" t="s">
        <v>74</v>
      </c>
      <c r="B546" s="10">
        <v>2025</v>
      </c>
      <c r="C546" s="10" t="s">
        <v>57</v>
      </c>
      <c r="D546" s="11" t="s">
        <v>58</v>
      </c>
      <c r="E546" s="12">
        <v>1214.9100000000001</v>
      </c>
    </row>
    <row r="547" spans="1:5" x14ac:dyDescent="0.3">
      <c r="A547" s="10" t="s">
        <v>74</v>
      </c>
      <c r="B547" s="10">
        <v>2021</v>
      </c>
      <c r="C547" s="10" t="s">
        <v>57</v>
      </c>
      <c r="D547" s="11" t="s">
        <v>59</v>
      </c>
      <c r="E547" s="12">
        <v>2591.36</v>
      </c>
    </row>
    <row r="548" spans="1:5" x14ac:dyDescent="0.3">
      <c r="A548" s="10" t="s">
        <v>74</v>
      </c>
      <c r="B548" s="10">
        <v>2022</v>
      </c>
      <c r="C548" s="10" t="s">
        <v>57</v>
      </c>
      <c r="D548" s="11" t="s">
        <v>59</v>
      </c>
      <c r="E548" s="12">
        <v>2789.76</v>
      </c>
    </row>
    <row r="549" spans="1:5" x14ac:dyDescent="0.3">
      <c r="A549" s="10" t="s">
        <v>74</v>
      </c>
      <c r="B549" s="10">
        <v>2023</v>
      </c>
      <c r="C549" s="10" t="s">
        <v>57</v>
      </c>
      <c r="D549" s="11" t="s">
        <v>59</v>
      </c>
      <c r="E549" s="12">
        <v>3070.99</v>
      </c>
    </row>
    <row r="550" spans="1:5" x14ac:dyDescent="0.3">
      <c r="A550" s="10" t="s">
        <v>74</v>
      </c>
      <c r="B550" s="10">
        <v>2024</v>
      </c>
      <c r="C550" s="10" t="s">
        <v>57</v>
      </c>
      <c r="D550" s="11" t="s">
        <v>59</v>
      </c>
      <c r="E550" s="12">
        <v>3239.84</v>
      </c>
    </row>
    <row r="551" spans="1:5" x14ac:dyDescent="0.3">
      <c r="A551" s="10" t="s">
        <v>74</v>
      </c>
      <c r="B551" s="10">
        <v>2025</v>
      </c>
      <c r="C551" s="10" t="s">
        <v>57</v>
      </c>
      <c r="D551" s="11" t="s">
        <v>59</v>
      </c>
      <c r="E551" s="12">
        <v>3539.43</v>
      </c>
    </row>
    <row r="552" spans="1:5" x14ac:dyDescent="0.3">
      <c r="A552" s="10" t="s">
        <v>74</v>
      </c>
      <c r="B552" s="10">
        <v>2021</v>
      </c>
      <c r="C552" s="10" t="s">
        <v>57</v>
      </c>
      <c r="D552" s="11" t="s">
        <v>60</v>
      </c>
      <c r="E552" s="12">
        <v>1222.5999999999999</v>
      </c>
    </row>
    <row r="553" spans="1:5" x14ac:dyDescent="0.3">
      <c r="A553" s="10" t="s">
        <v>74</v>
      </c>
      <c r="B553" s="10">
        <v>2022</v>
      </c>
      <c r="C553" s="10" t="s">
        <v>57</v>
      </c>
      <c r="D553" s="11" t="s">
        <v>60</v>
      </c>
      <c r="E553" s="12">
        <v>1427.39</v>
      </c>
    </row>
    <row r="554" spans="1:5" x14ac:dyDescent="0.3">
      <c r="A554" s="10" t="s">
        <v>74</v>
      </c>
      <c r="B554" s="10">
        <v>2023</v>
      </c>
      <c r="C554" s="10" t="s">
        <v>57</v>
      </c>
      <c r="D554" s="11" t="s">
        <v>60</v>
      </c>
      <c r="E554" s="12">
        <v>1739.41</v>
      </c>
    </row>
    <row r="555" spans="1:5" x14ac:dyDescent="0.3">
      <c r="A555" s="10" t="s">
        <v>74</v>
      </c>
      <c r="B555" s="10">
        <v>2024</v>
      </c>
      <c r="C555" s="10" t="s">
        <v>57</v>
      </c>
      <c r="D555" s="11" t="s">
        <v>60</v>
      </c>
      <c r="E555" s="12">
        <v>1963.79</v>
      </c>
    </row>
    <row r="556" spans="1:5" x14ac:dyDescent="0.3">
      <c r="A556" s="10" t="s">
        <v>74</v>
      </c>
      <c r="B556" s="10">
        <v>2025</v>
      </c>
      <c r="C556" s="10" t="s">
        <v>57</v>
      </c>
      <c r="D556" s="11" t="s">
        <v>60</v>
      </c>
      <c r="E556" s="12">
        <v>2237.37</v>
      </c>
    </row>
    <row r="557" spans="1:5" x14ac:dyDescent="0.3">
      <c r="A557" s="10" t="s">
        <v>74</v>
      </c>
      <c r="B557" s="10">
        <v>2021</v>
      </c>
      <c r="C557" s="10" t="s">
        <v>57</v>
      </c>
      <c r="D557" s="11" t="s">
        <v>61</v>
      </c>
      <c r="E557" s="12">
        <v>622.13</v>
      </c>
    </row>
    <row r="558" spans="1:5" x14ac:dyDescent="0.3">
      <c r="A558" s="10" t="s">
        <v>74</v>
      </c>
      <c r="B558" s="10">
        <v>2022</v>
      </c>
      <c r="C558" s="10" t="s">
        <v>57</v>
      </c>
      <c r="D558" s="11" t="s">
        <v>61</v>
      </c>
      <c r="E558" s="12">
        <v>634.62</v>
      </c>
    </row>
    <row r="559" spans="1:5" x14ac:dyDescent="0.3">
      <c r="A559" s="10" t="s">
        <v>74</v>
      </c>
      <c r="B559" s="10">
        <v>2023</v>
      </c>
      <c r="C559" s="10" t="s">
        <v>57</v>
      </c>
      <c r="D559" s="11" t="s">
        <v>61</v>
      </c>
      <c r="E559" s="12">
        <v>653.17999999999995</v>
      </c>
    </row>
    <row r="560" spans="1:5" x14ac:dyDescent="0.3">
      <c r="A560" s="10" t="s">
        <v>74</v>
      </c>
      <c r="B560" s="10">
        <v>2024</v>
      </c>
      <c r="C560" s="10" t="s">
        <v>57</v>
      </c>
      <c r="D560" s="11" t="s">
        <v>61</v>
      </c>
      <c r="E560" s="12">
        <v>688.43</v>
      </c>
    </row>
    <row r="561" spans="1:5" x14ac:dyDescent="0.3">
      <c r="A561" s="10" t="s">
        <v>74</v>
      </c>
      <c r="B561" s="10">
        <v>2025</v>
      </c>
      <c r="C561" s="10" t="s">
        <v>57</v>
      </c>
      <c r="D561" s="11" t="s">
        <v>61</v>
      </c>
      <c r="E561" s="12">
        <v>732.73</v>
      </c>
    </row>
    <row r="562" spans="1:5" x14ac:dyDescent="0.3">
      <c r="A562" s="10" t="s">
        <v>74</v>
      </c>
      <c r="B562" s="10">
        <v>2021</v>
      </c>
      <c r="C562" s="10" t="s">
        <v>57</v>
      </c>
      <c r="D562" s="11" t="s">
        <v>62</v>
      </c>
      <c r="E562" s="12">
        <v>749.13</v>
      </c>
    </row>
    <row r="563" spans="1:5" x14ac:dyDescent="0.3">
      <c r="A563" s="10" t="s">
        <v>74</v>
      </c>
      <c r="B563" s="10">
        <v>2022</v>
      </c>
      <c r="C563" s="10" t="s">
        <v>57</v>
      </c>
      <c r="D563" s="11" t="s">
        <v>62</v>
      </c>
      <c r="E563" s="12">
        <v>901.45</v>
      </c>
    </row>
    <row r="564" spans="1:5" x14ac:dyDescent="0.3">
      <c r="A564" s="10" t="s">
        <v>74</v>
      </c>
      <c r="B564" s="10">
        <v>2023</v>
      </c>
      <c r="C564" s="10" t="s">
        <v>57</v>
      </c>
      <c r="D564" s="11" t="s">
        <v>62</v>
      </c>
      <c r="E564" s="12">
        <v>1062.93</v>
      </c>
    </row>
    <row r="565" spans="1:5" x14ac:dyDescent="0.3">
      <c r="A565" s="10" t="s">
        <v>74</v>
      </c>
      <c r="B565" s="10">
        <v>2024</v>
      </c>
      <c r="C565" s="10" t="s">
        <v>57</v>
      </c>
      <c r="D565" s="11" t="s">
        <v>62</v>
      </c>
      <c r="E565" s="12">
        <v>1194.49</v>
      </c>
    </row>
    <row r="566" spans="1:5" x14ac:dyDescent="0.3">
      <c r="A566" s="10" t="s">
        <v>74</v>
      </c>
      <c r="B566" s="10">
        <v>2025</v>
      </c>
      <c r="C566" s="10" t="s">
        <v>57</v>
      </c>
      <c r="D566" s="11" t="s">
        <v>62</v>
      </c>
      <c r="E566" s="12">
        <v>1228.54</v>
      </c>
    </row>
    <row r="567" spans="1:5" x14ac:dyDescent="0.3">
      <c r="A567" s="10" t="s">
        <v>74</v>
      </c>
      <c r="B567" s="10">
        <v>2021</v>
      </c>
      <c r="C567" s="10" t="s">
        <v>57</v>
      </c>
      <c r="D567" s="11" t="s">
        <v>63</v>
      </c>
      <c r="E567" s="12">
        <v>687.83</v>
      </c>
    </row>
    <row r="568" spans="1:5" x14ac:dyDescent="0.3">
      <c r="A568" s="10" t="s">
        <v>74</v>
      </c>
      <c r="B568" s="10">
        <v>2022</v>
      </c>
      <c r="C568" s="10" t="s">
        <v>57</v>
      </c>
      <c r="D568" s="11" t="s">
        <v>63</v>
      </c>
      <c r="E568" s="12">
        <v>721.18</v>
      </c>
    </row>
    <row r="569" spans="1:5" x14ac:dyDescent="0.3">
      <c r="A569" s="10" t="s">
        <v>74</v>
      </c>
      <c r="B569" s="10">
        <v>2023</v>
      </c>
      <c r="C569" s="10" t="s">
        <v>57</v>
      </c>
      <c r="D569" s="11" t="s">
        <v>63</v>
      </c>
      <c r="E569" s="12">
        <v>754.93</v>
      </c>
    </row>
    <row r="570" spans="1:5" x14ac:dyDescent="0.3">
      <c r="A570" s="10" t="s">
        <v>74</v>
      </c>
      <c r="B570" s="10">
        <v>2024</v>
      </c>
      <c r="C570" s="10" t="s">
        <v>57</v>
      </c>
      <c r="D570" s="11" t="s">
        <v>63</v>
      </c>
      <c r="E570" s="12">
        <v>796.75</v>
      </c>
    </row>
    <row r="571" spans="1:5" x14ac:dyDescent="0.3">
      <c r="A571" s="10" t="s">
        <v>74</v>
      </c>
      <c r="B571" s="10">
        <v>2025</v>
      </c>
      <c r="C571" s="10" t="s">
        <v>57</v>
      </c>
      <c r="D571" s="11" t="s">
        <v>63</v>
      </c>
      <c r="E571" s="12">
        <v>846.9</v>
      </c>
    </row>
    <row r="572" spans="1:5" x14ac:dyDescent="0.3">
      <c r="A572" s="10" t="s">
        <v>74</v>
      </c>
      <c r="B572" s="10">
        <v>2021</v>
      </c>
      <c r="C572" s="10" t="s">
        <v>57</v>
      </c>
      <c r="D572" s="11" t="s">
        <v>64</v>
      </c>
      <c r="E572" s="12">
        <v>128.62</v>
      </c>
    </row>
    <row r="573" spans="1:5" x14ac:dyDescent="0.3">
      <c r="A573" s="10" t="s">
        <v>74</v>
      </c>
      <c r="B573" s="10">
        <v>2022</v>
      </c>
      <c r="C573" s="10" t="s">
        <v>57</v>
      </c>
      <c r="D573" s="11" t="s">
        <v>64</v>
      </c>
      <c r="E573" s="12">
        <v>142.52000000000001</v>
      </c>
    </row>
    <row r="574" spans="1:5" x14ac:dyDescent="0.3">
      <c r="A574" s="10" t="s">
        <v>74</v>
      </c>
      <c r="B574" s="10">
        <v>2023</v>
      </c>
      <c r="C574" s="10" t="s">
        <v>57</v>
      </c>
      <c r="D574" s="11" t="s">
        <v>64</v>
      </c>
      <c r="E574" s="12">
        <v>152.03</v>
      </c>
    </row>
    <row r="575" spans="1:5" x14ac:dyDescent="0.3">
      <c r="A575" s="10" t="s">
        <v>74</v>
      </c>
      <c r="B575" s="10">
        <v>2024</v>
      </c>
      <c r="C575" s="10" t="s">
        <v>57</v>
      </c>
      <c r="D575" s="11" t="s">
        <v>64</v>
      </c>
      <c r="E575" s="12">
        <v>166.65</v>
      </c>
    </row>
    <row r="576" spans="1:5" x14ac:dyDescent="0.3">
      <c r="A576" s="10" t="s">
        <v>74</v>
      </c>
      <c r="B576" s="10">
        <v>2025</v>
      </c>
      <c r="C576" s="10" t="s">
        <v>57</v>
      </c>
      <c r="D576" s="11" t="s">
        <v>64</v>
      </c>
      <c r="E576" s="12">
        <v>185.06</v>
      </c>
    </row>
    <row r="577" spans="1:5" x14ac:dyDescent="0.3">
      <c r="A577" s="10" t="s">
        <v>74</v>
      </c>
      <c r="B577" s="10">
        <v>2021</v>
      </c>
      <c r="C577" s="10" t="s">
        <v>57</v>
      </c>
      <c r="D577" s="11" t="s">
        <v>65</v>
      </c>
      <c r="E577" s="12">
        <v>1376.5</v>
      </c>
    </row>
    <row r="578" spans="1:5" x14ac:dyDescent="0.3">
      <c r="A578" s="10" t="s">
        <v>74</v>
      </c>
      <c r="B578" s="10">
        <v>2022</v>
      </c>
      <c r="C578" s="10" t="s">
        <v>57</v>
      </c>
      <c r="D578" s="11" t="s">
        <v>65</v>
      </c>
      <c r="E578" s="12">
        <v>1365.65</v>
      </c>
    </row>
    <row r="579" spans="1:5" x14ac:dyDescent="0.3">
      <c r="A579" s="10" t="s">
        <v>74</v>
      </c>
      <c r="B579" s="10">
        <v>2023</v>
      </c>
      <c r="C579" s="10" t="s">
        <v>57</v>
      </c>
      <c r="D579" s="11" t="s">
        <v>65</v>
      </c>
      <c r="E579" s="12">
        <v>1365.4</v>
      </c>
    </row>
    <row r="580" spans="1:5" x14ac:dyDescent="0.3">
      <c r="A580" s="10" t="s">
        <v>74</v>
      </c>
      <c r="B580" s="10">
        <v>2024</v>
      </c>
      <c r="C580" s="10" t="s">
        <v>57</v>
      </c>
      <c r="D580" s="11" t="s">
        <v>65</v>
      </c>
      <c r="E580" s="12">
        <v>1470.85</v>
      </c>
    </row>
    <row r="581" spans="1:5" x14ac:dyDescent="0.3">
      <c r="A581" s="10" t="s">
        <v>74</v>
      </c>
      <c r="B581" s="10">
        <v>2025</v>
      </c>
      <c r="C581" s="10" t="s">
        <v>57</v>
      </c>
      <c r="D581" s="11" t="s">
        <v>65</v>
      </c>
      <c r="E581" s="12">
        <v>1637.06</v>
      </c>
    </row>
    <row r="582" spans="1:5" x14ac:dyDescent="0.3">
      <c r="A582" s="10" t="s">
        <v>74</v>
      </c>
      <c r="B582" s="10">
        <v>2021</v>
      </c>
      <c r="C582" s="10" t="s">
        <v>57</v>
      </c>
      <c r="D582" s="11" t="s">
        <v>66</v>
      </c>
      <c r="E582" s="12">
        <v>456.81</v>
      </c>
    </row>
    <row r="583" spans="1:5" x14ac:dyDescent="0.3">
      <c r="A583" s="10" t="s">
        <v>74</v>
      </c>
      <c r="B583" s="10">
        <v>2022</v>
      </c>
      <c r="C583" s="10" t="s">
        <v>57</v>
      </c>
      <c r="D583" s="11" t="s">
        <v>66</v>
      </c>
      <c r="E583" s="12">
        <v>464.02</v>
      </c>
    </row>
    <row r="584" spans="1:5" x14ac:dyDescent="0.3">
      <c r="A584" s="10" t="s">
        <v>74</v>
      </c>
      <c r="B584" s="10">
        <v>2023</v>
      </c>
      <c r="C584" s="10" t="s">
        <v>57</v>
      </c>
      <c r="D584" s="11" t="s">
        <v>66</v>
      </c>
      <c r="E584" s="12">
        <v>467.12</v>
      </c>
    </row>
    <row r="585" spans="1:5" x14ac:dyDescent="0.3">
      <c r="A585" s="10" t="s">
        <v>74</v>
      </c>
      <c r="B585" s="10">
        <v>2024</v>
      </c>
      <c r="C585" s="10" t="s">
        <v>57</v>
      </c>
      <c r="D585" s="11" t="s">
        <v>66</v>
      </c>
      <c r="E585" s="12">
        <v>505.37</v>
      </c>
    </row>
    <row r="586" spans="1:5" x14ac:dyDescent="0.3">
      <c r="A586" s="10" t="s">
        <v>74</v>
      </c>
      <c r="B586" s="10">
        <v>2025</v>
      </c>
      <c r="C586" s="10" t="s">
        <v>57</v>
      </c>
      <c r="D586" s="11" t="s">
        <v>66</v>
      </c>
      <c r="E586" s="12">
        <v>539.69000000000005</v>
      </c>
    </row>
    <row r="587" spans="1:5" x14ac:dyDescent="0.3">
      <c r="A587" s="10" t="s">
        <v>74</v>
      </c>
      <c r="B587" s="10">
        <v>2021</v>
      </c>
      <c r="C587" s="10" t="s">
        <v>57</v>
      </c>
      <c r="D587" s="11" t="s">
        <v>67</v>
      </c>
      <c r="E587" s="12">
        <v>403.18</v>
      </c>
    </row>
    <row r="588" spans="1:5" x14ac:dyDescent="0.3">
      <c r="A588" s="10" t="s">
        <v>74</v>
      </c>
      <c r="B588" s="10">
        <v>2022</v>
      </c>
      <c r="C588" s="10" t="s">
        <v>57</v>
      </c>
      <c r="D588" s="11" t="s">
        <v>67</v>
      </c>
      <c r="E588" s="12">
        <v>420.58</v>
      </c>
    </row>
    <row r="589" spans="1:5" x14ac:dyDescent="0.3">
      <c r="A589" s="10" t="s">
        <v>74</v>
      </c>
      <c r="B589" s="10">
        <v>2023</v>
      </c>
      <c r="C589" s="10" t="s">
        <v>57</v>
      </c>
      <c r="D589" s="11" t="s">
        <v>67</v>
      </c>
      <c r="E589" s="12">
        <v>442.88</v>
      </c>
    </row>
    <row r="590" spans="1:5" x14ac:dyDescent="0.3">
      <c r="A590" s="10" t="s">
        <v>74</v>
      </c>
      <c r="B590" s="10">
        <v>2024</v>
      </c>
      <c r="C590" s="10" t="s">
        <v>57</v>
      </c>
      <c r="D590" s="11" t="s">
        <v>67</v>
      </c>
      <c r="E590" s="12">
        <v>472.3</v>
      </c>
    </row>
    <row r="591" spans="1:5" x14ac:dyDescent="0.3">
      <c r="A591" s="10" t="s">
        <v>74</v>
      </c>
      <c r="B591" s="10">
        <v>2025</v>
      </c>
      <c r="C591" s="10" t="s">
        <v>57</v>
      </c>
      <c r="D591" s="11" t="s">
        <v>67</v>
      </c>
      <c r="E591" s="12">
        <v>507.15</v>
      </c>
    </row>
    <row r="592" spans="1:5" x14ac:dyDescent="0.3">
      <c r="A592" s="10" t="s">
        <v>74</v>
      </c>
      <c r="B592" s="10">
        <v>2021</v>
      </c>
      <c r="C592" s="10" t="s">
        <v>57</v>
      </c>
      <c r="D592" s="11" t="s">
        <v>68</v>
      </c>
      <c r="E592" s="12">
        <v>383.68</v>
      </c>
    </row>
    <row r="593" spans="1:5" x14ac:dyDescent="0.3">
      <c r="A593" s="10" t="s">
        <v>74</v>
      </c>
      <c r="B593" s="10">
        <v>2022</v>
      </c>
      <c r="C593" s="10" t="s">
        <v>57</v>
      </c>
      <c r="D593" s="11" t="s">
        <v>68</v>
      </c>
      <c r="E593" s="12">
        <v>438.5</v>
      </c>
    </row>
    <row r="594" spans="1:5" x14ac:dyDescent="0.3">
      <c r="A594" s="10" t="s">
        <v>74</v>
      </c>
      <c r="B594" s="10">
        <v>2023</v>
      </c>
      <c r="C594" s="10" t="s">
        <v>57</v>
      </c>
      <c r="D594" s="11" t="s">
        <v>68</v>
      </c>
      <c r="E594" s="12">
        <v>487.82</v>
      </c>
    </row>
    <row r="595" spans="1:5" x14ac:dyDescent="0.3">
      <c r="A595" s="10" t="s">
        <v>74</v>
      </c>
      <c r="B595" s="10">
        <v>2024</v>
      </c>
      <c r="C595" s="10" t="s">
        <v>57</v>
      </c>
      <c r="D595" s="11" t="s">
        <v>68</v>
      </c>
      <c r="E595" s="12">
        <v>512.55999999999995</v>
      </c>
    </row>
    <row r="596" spans="1:5" x14ac:dyDescent="0.3">
      <c r="A596" s="10" t="s">
        <v>74</v>
      </c>
      <c r="B596" s="10">
        <v>2025</v>
      </c>
      <c r="C596" s="10" t="s">
        <v>57</v>
      </c>
      <c r="D596" s="11" t="s">
        <v>68</v>
      </c>
      <c r="E596" s="12">
        <v>561.05999999999995</v>
      </c>
    </row>
    <row r="597" spans="1:5" x14ac:dyDescent="0.3">
      <c r="A597" s="10" t="s">
        <v>75</v>
      </c>
      <c r="B597" s="10">
        <v>2021</v>
      </c>
      <c r="C597" s="10" t="s">
        <v>49</v>
      </c>
      <c r="D597" s="11" t="s">
        <v>50</v>
      </c>
      <c r="E597" s="12">
        <v>1946865.2</v>
      </c>
    </row>
    <row r="598" spans="1:5" x14ac:dyDescent="0.3">
      <c r="A598" s="10" t="s">
        <v>75</v>
      </c>
      <c r="B598" s="10">
        <v>2022</v>
      </c>
      <c r="C598" s="10" t="s">
        <v>49</v>
      </c>
      <c r="D598" s="11" t="s">
        <v>50</v>
      </c>
      <c r="E598" s="12">
        <v>2026791.8</v>
      </c>
    </row>
    <row r="599" spans="1:5" x14ac:dyDescent="0.3">
      <c r="A599" s="10" t="s">
        <v>75</v>
      </c>
      <c r="B599" s="10">
        <v>2023</v>
      </c>
      <c r="C599" s="10" t="s">
        <v>49</v>
      </c>
      <c r="D599" s="11" t="s">
        <v>50</v>
      </c>
      <c r="E599" s="12">
        <v>2184286.7000000002</v>
      </c>
    </row>
    <row r="600" spans="1:5" x14ac:dyDescent="0.3">
      <c r="A600" s="10" t="s">
        <v>75</v>
      </c>
      <c r="B600" s="10">
        <v>2024</v>
      </c>
      <c r="C600" s="10" t="s">
        <v>49</v>
      </c>
      <c r="D600" s="11" t="s">
        <v>50</v>
      </c>
      <c r="E600" s="12">
        <v>2429551.7999999998</v>
      </c>
    </row>
    <row r="601" spans="1:5" x14ac:dyDescent="0.3">
      <c r="A601" s="10" t="s">
        <v>75</v>
      </c>
      <c r="B601" s="10">
        <v>2025</v>
      </c>
      <c r="C601" s="10" t="s">
        <v>49</v>
      </c>
      <c r="D601" s="11" t="s">
        <v>50</v>
      </c>
      <c r="E601" s="12">
        <v>2558267.7000000002</v>
      </c>
    </row>
    <row r="602" spans="1:5" x14ac:dyDescent="0.3">
      <c r="A602" s="10" t="s">
        <v>75</v>
      </c>
      <c r="B602" s="10">
        <v>2021</v>
      </c>
      <c r="C602" s="10" t="s">
        <v>49</v>
      </c>
      <c r="D602" s="11" t="s">
        <v>51</v>
      </c>
      <c r="E602" s="12">
        <v>257303.63</v>
      </c>
    </row>
    <row r="603" spans="1:5" x14ac:dyDescent="0.3">
      <c r="A603" s="10" t="s">
        <v>75</v>
      </c>
      <c r="B603" s="10">
        <v>2022</v>
      </c>
      <c r="C603" s="10" t="s">
        <v>49</v>
      </c>
      <c r="D603" s="11" t="s">
        <v>51</v>
      </c>
      <c r="E603" s="12">
        <v>279591.67999999999</v>
      </c>
    </row>
    <row r="604" spans="1:5" x14ac:dyDescent="0.3">
      <c r="A604" s="10" t="s">
        <v>75</v>
      </c>
      <c r="B604" s="10">
        <v>2023</v>
      </c>
      <c r="C604" s="10" t="s">
        <v>49</v>
      </c>
      <c r="D604" s="11" t="s">
        <v>51</v>
      </c>
      <c r="E604" s="12">
        <v>295100.52</v>
      </c>
    </row>
    <row r="605" spans="1:5" x14ac:dyDescent="0.3">
      <c r="A605" s="10" t="s">
        <v>75</v>
      </c>
      <c r="B605" s="10">
        <v>2024</v>
      </c>
      <c r="C605" s="10" t="s">
        <v>49</v>
      </c>
      <c r="D605" s="11" t="s">
        <v>51</v>
      </c>
      <c r="E605" s="12">
        <v>312759.48</v>
      </c>
    </row>
    <row r="606" spans="1:5" x14ac:dyDescent="0.3">
      <c r="A606" s="10" t="s">
        <v>75</v>
      </c>
      <c r="B606" s="10">
        <v>2025</v>
      </c>
      <c r="C606" s="10" t="s">
        <v>49</v>
      </c>
      <c r="D606" s="11" t="s">
        <v>51</v>
      </c>
      <c r="E606" s="12">
        <v>327505.28999999998</v>
      </c>
    </row>
    <row r="607" spans="1:5" x14ac:dyDescent="0.3">
      <c r="A607" s="10" t="s">
        <v>75</v>
      </c>
      <c r="B607" s="10">
        <v>2021</v>
      </c>
      <c r="C607" s="10" t="s">
        <v>52</v>
      </c>
      <c r="D607" s="11" t="s">
        <v>53</v>
      </c>
      <c r="E607" s="12">
        <v>831797.37</v>
      </c>
    </row>
    <row r="608" spans="1:5" x14ac:dyDescent="0.3">
      <c r="A608" s="10" t="s">
        <v>75</v>
      </c>
      <c r="B608" s="10">
        <v>2022</v>
      </c>
      <c r="C608" s="10" t="s">
        <v>52</v>
      </c>
      <c r="D608" s="11" t="s">
        <v>53</v>
      </c>
      <c r="E608" s="12">
        <v>903301.57</v>
      </c>
    </row>
    <row r="609" spans="1:5" x14ac:dyDescent="0.3">
      <c r="A609" s="10" t="s">
        <v>75</v>
      </c>
      <c r="B609" s="10">
        <v>2023</v>
      </c>
      <c r="C609" s="10" t="s">
        <v>52</v>
      </c>
      <c r="D609" s="11" t="s">
        <v>53</v>
      </c>
      <c r="E609" s="12">
        <v>951253.24</v>
      </c>
    </row>
    <row r="610" spans="1:5" x14ac:dyDescent="0.3">
      <c r="A610" s="10" t="s">
        <v>75</v>
      </c>
      <c r="B610" s="10">
        <v>2024</v>
      </c>
      <c r="C610" s="10" t="s">
        <v>52</v>
      </c>
      <c r="D610" s="11" t="s">
        <v>53</v>
      </c>
      <c r="E610" s="12">
        <v>1024071.8</v>
      </c>
    </row>
    <row r="611" spans="1:5" x14ac:dyDescent="0.3">
      <c r="A611" s="10" t="s">
        <v>75</v>
      </c>
      <c r="B611" s="10">
        <v>2025</v>
      </c>
      <c r="C611" s="10" t="s">
        <v>52</v>
      </c>
      <c r="D611" s="11" t="s">
        <v>53</v>
      </c>
      <c r="E611" s="12">
        <v>1128859.6000000001</v>
      </c>
    </row>
    <row r="612" spans="1:5" x14ac:dyDescent="0.3">
      <c r="A612" s="10" t="s">
        <v>75</v>
      </c>
      <c r="B612" s="10">
        <v>2021</v>
      </c>
      <c r="C612" s="10" t="s">
        <v>52</v>
      </c>
      <c r="D612" s="11" t="s">
        <v>54</v>
      </c>
      <c r="E612" s="12">
        <v>9453.77</v>
      </c>
    </row>
    <row r="613" spans="1:5" x14ac:dyDescent="0.3">
      <c r="A613" s="10" t="s">
        <v>75</v>
      </c>
      <c r="B613" s="10">
        <v>2022</v>
      </c>
      <c r="C613" s="10" t="s">
        <v>52</v>
      </c>
      <c r="D613" s="11" t="s">
        <v>54</v>
      </c>
      <c r="E613" s="12">
        <v>10932.89</v>
      </c>
    </row>
    <row r="614" spans="1:5" x14ac:dyDescent="0.3">
      <c r="A614" s="10" t="s">
        <v>75</v>
      </c>
      <c r="B614" s="10">
        <v>2023</v>
      </c>
      <c r="C614" s="10" t="s">
        <v>52</v>
      </c>
      <c r="D614" s="11" t="s">
        <v>54</v>
      </c>
      <c r="E614" s="12">
        <v>12862.85</v>
      </c>
    </row>
    <row r="615" spans="1:5" x14ac:dyDescent="0.3">
      <c r="A615" s="10" t="s">
        <v>75</v>
      </c>
      <c r="B615" s="10">
        <v>2024</v>
      </c>
      <c r="C615" s="10" t="s">
        <v>52</v>
      </c>
      <c r="D615" s="11" t="s">
        <v>54</v>
      </c>
      <c r="E615" s="12">
        <v>14893.69</v>
      </c>
    </row>
    <row r="616" spans="1:5" x14ac:dyDescent="0.3">
      <c r="A616" s="10" t="s">
        <v>75</v>
      </c>
      <c r="B616" s="10">
        <v>2025</v>
      </c>
      <c r="C616" s="10" t="s">
        <v>52</v>
      </c>
      <c r="D616" s="11" t="s">
        <v>54</v>
      </c>
      <c r="E616" s="12">
        <v>15921.51</v>
      </c>
    </row>
    <row r="617" spans="1:5" x14ac:dyDescent="0.3">
      <c r="A617" s="10" t="s">
        <v>75</v>
      </c>
      <c r="B617" s="10">
        <v>2021</v>
      </c>
      <c r="C617" s="10" t="s">
        <v>52</v>
      </c>
      <c r="D617" s="11" t="s">
        <v>55</v>
      </c>
      <c r="E617" s="12">
        <v>17663.810000000001</v>
      </c>
    </row>
    <row r="618" spans="1:5" x14ac:dyDescent="0.3">
      <c r="A618" s="10" t="s">
        <v>75</v>
      </c>
      <c r="B618" s="10">
        <v>2022</v>
      </c>
      <c r="C618" s="10" t="s">
        <v>52</v>
      </c>
      <c r="D618" s="11" t="s">
        <v>55</v>
      </c>
      <c r="E618" s="12">
        <v>17998.95</v>
      </c>
    </row>
    <row r="619" spans="1:5" x14ac:dyDescent="0.3">
      <c r="A619" s="10" t="s">
        <v>75</v>
      </c>
      <c r="B619" s="10">
        <v>2023</v>
      </c>
      <c r="C619" s="10" t="s">
        <v>52</v>
      </c>
      <c r="D619" s="11" t="s">
        <v>55</v>
      </c>
      <c r="E619" s="12">
        <v>19316.400000000001</v>
      </c>
    </row>
    <row r="620" spans="1:5" x14ac:dyDescent="0.3">
      <c r="A620" s="10" t="s">
        <v>75</v>
      </c>
      <c r="B620" s="10">
        <v>2024</v>
      </c>
      <c r="C620" s="10" t="s">
        <v>52</v>
      </c>
      <c r="D620" s="11" t="s">
        <v>55</v>
      </c>
      <c r="E620" s="12">
        <v>20615.55</v>
      </c>
    </row>
    <row r="621" spans="1:5" x14ac:dyDescent="0.3">
      <c r="A621" s="10" t="s">
        <v>75</v>
      </c>
      <c r="B621" s="10">
        <v>2025</v>
      </c>
      <c r="C621" s="10" t="s">
        <v>52</v>
      </c>
      <c r="D621" s="11" t="s">
        <v>55</v>
      </c>
      <c r="E621" s="12">
        <v>21776.400000000001</v>
      </c>
    </row>
    <row r="622" spans="1:5" x14ac:dyDescent="0.3">
      <c r="A622" s="10" t="s">
        <v>75</v>
      </c>
      <c r="B622" s="10">
        <v>2021</v>
      </c>
      <c r="C622" s="10" t="s">
        <v>52</v>
      </c>
      <c r="D622" s="11" t="s">
        <v>56</v>
      </c>
      <c r="E622" s="12">
        <v>910109.32</v>
      </c>
    </row>
    <row r="623" spans="1:5" x14ac:dyDescent="0.3">
      <c r="A623" s="10" t="s">
        <v>75</v>
      </c>
      <c r="B623" s="10">
        <v>2022</v>
      </c>
      <c r="C623" s="10" t="s">
        <v>52</v>
      </c>
      <c r="D623" s="11" t="s">
        <v>56</v>
      </c>
      <c r="E623" s="12">
        <v>979637.48</v>
      </c>
    </row>
    <row r="624" spans="1:5" x14ac:dyDescent="0.3">
      <c r="A624" s="10" t="s">
        <v>75</v>
      </c>
      <c r="B624" s="10">
        <v>2023</v>
      </c>
      <c r="C624" s="10" t="s">
        <v>52</v>
      </c>
      <c r="D624" s="11" t="s">
        <v>56</v>
      </c>
      <c r="E624" s="12">
        <v>1007661.2</v>
      </c>
    </row>
    <row r="625" spans="1:5" x14ac:dyDescent="0.3">
      <c r="A625" s="10" t="s">
        <v>75</v>
      </c>
      <c r="B625" s="10">
        <v>2024</v>
      </c>
      <c r="C625" s="10" t="s">
        <v>52</v>
      </c>
      <c r="D625" s="11" t="s">
        <v>56</v>
      </c>
      <c r="E625" s="12">
        <v>1050024.5</v>
      </c>
    </row>
    <row r="626" spans="1:5" x14ac:dyDescent="0.3">
      <c r="A626" s="10" t="s">
        <v>75</v>
      </c>
      <c r="B626" s="10">
        <v>2025</v>
      </c>
      <c r="C626" s="10" t="s">
        <v>52</v>
      </c>
      <c r="D626" s="11" t="s">
        <v>56</v>
      </c>
      <c r="E626" s="12">
        <v>1116707.5</v>
      </c>
    </row>
    <row r="627" spans="1:5" x14ac:dyDescent="0.3">
      <c r="A627" s="10" t="s">
        <v>75</v>
      </c>
      <c r="B627" s="10">
        <v>2021</v>
      </c>
      <c r="C627" s="10" t="s">
        <v>57</v>
      </c>
      <c r="D627" s="11" t="s">
        <v>58</v>
      </c>
      <c r="E627" s="12">
        <v>713517.95</v>
      </c>
    </row>
    <row r="628" spans="1:5" x14ac:dyDescent="0.3">
      <c r="A628" s="10" t="s">
        <v>75</v>
      </c>
      <c r="B628" s="10">
        <v>2022</v>
      </c>
      <c r="C628" s="10" t="s">
        <v>57</v>
      </c>
      <c r="D628" s="11" t="s">
        <v>58</v>
      </c>
      <c r="E628" s="12">
        <v>804462.79</v>
      </c>
    </row>
    <row r="629" spans="1:5" x14ac:dyDescent="0.3">
      <c r="A629" s="10" t="s">
        <v>75</v>
      </c>
      <c r="B629" s="10">
        <v>2023</v>
      </c>
      <c r="C629" s="10" t="s">
        <v>57</v>
      </c>
      <c r="D629" s="11" t="s">
        <v>58</v>
      </c>
      <c r="E629" s="12">
        <v>875010.35</v>
      </c>
    </row>
    <row r="630" spans="1:5" x14ac:dyDescent="0.3">
      <c r="A630" s="10" t="s">
        <v>75</v>
      </c>
      <c r="B630" s="10">
        <v>2024</v>
      </c>
      <c r="C630" s="10" t="s">
        <v>57</v>
      </c>
      <c r="D630" s="11" t="s">
        <v>58</v>
      </c>
      <c r="E630" s="12">
        <v>917712.34</v>
      </c>
    </row>
    <row r="631" spans="1:5" x14ac:dyDescent="0.3">
      <c r="A631" s="10" t="s">
        <v>75</v>
      </c>
      <c r="B631" s="10">
        <v>2025</v>
      </c>
      <c r="C631" s="10" t="s">
        <v>57</v>
      </c>
      <c r="D631" s="11" t="s">
        <v>58</v>
      </c>
      <c r="E631" s="12">
        <v>1025417.1</v>
      </c>
    </row>
    <row r="632" spans="1:5" x14ac:dyDescent="0.3">
      <c r="A632" s="10" t="s">
        <v>75</v>
      </c>
      <c r="B632" s="10">
        <v>2021</v>
      </c>
      <c r="C632" s="10" t="s">
        <v>57</v>
      </c>
      <c r="D632" s="11" t="s">
        <v>59</v>
      </c>
      <c r="E632" s="12">
        <v>177018.76</v>
      </c>
    </row>
    <row r="633" spans="1:5" x14ac:dyDescent="0.3">
      <c r="A633" s="10" t="s">
        <v>75</v>
      </c>
      <c r="B633" s="10">
        <v>2022</v>
      </c>
      <c r="C633" s="10" t="s">
        <v>57</v>
      </c>
      <c r="D633" s="11" t="s">
        <v>59</v>
      </c>
      <c r="E633" s="12">
        <v>200722.73</v>
      </c>
    </row>
    <row r="634" spans="1:5" x14ac:dyDescent="0.3">
      <c r="A634" s="10" t="s">
        <v>75</v>
      </c>
      <c r="B634" s="10">
        <v>2023</v>
      </c>
      <c r="C634" s="10" t="s">
        <v>57</v>
      </c>
      <c r="D634" s="11" t="s">
        <v>59</v>
      </c>
      <c r="E634" s="12">
        <v>255309.3</v>
      </c>
    </row>
    <row r="635" spans="1:5" x14ac:dyDescent="0.3">
      <c r="A635" s="10" t="s">
        <v>75</v>
      </c>
      <c r="B635" s="10">
        <v>2024</v>
      </c>
      <c r="C635" s="10" t="s">
        <v>57</v>
      </c>
      <c r="D635" s="11" t="s">
        <v>59</v>
      </c>
      <c r="E635" s="12">
        <v>308267.67</v>
      </c>
    </row>
    <row r="636" spans="1:5" x14ac:dyDescent="0.3">
      <c r="A636" s="10" t="s">
        <v>75</v>
      </c>
      <c r="B636" s="10">
        <v>2025</v>
      </c>
      <c r="C636" s="10" t="s">
        <v>57</v>
      </c>
      <c r="D636" s="11" t="s">
        <v>59</v>
      </c>
      <c r="E636" s="12">
        <v>367963.82</v>
      </c>
    </row>
    <row r="637" spans="1:5" x14ac:dyDescent="0.3">
      <c r="A637" s="10" t="s">
        <v>75</v>
      </c>
      <c r="B637" s="10">
        <v>2021</v>
      </c>
      <c r="C637" s="10" t="s">
        <v>57</v>
      </c>
      <c r="D637" s="11" t="s">
        <v>60</v>
      </c>
      <c r="E637" s="12">
        <v>751304.82</v>
      </c>
    </row>
    <row r="638" spans="1:5" x14ac:dyDescent="0.3">
      <c r="A638" s="10" t="s">
        <v>75</v>
      </c>
      <c r="B638" s="10">
        <v>2022</v>
      </c>
      <c r="C638" s="10" t="s">
        <v>57</v>
      </c>
      <c r="D638" s="11" t="s">
        <v>60</v>
      </c>
      <c r="E638" s="12">
        <v>923818.67</v>
      </c>
    </row>
    <row r="639" spans="1:5" x14ac:dyDescent="0.3">
      <c r="A639" s="10" t="s">
        <v>75</v>
      </c>
      <c r="B639" s="10">
        <v>2023</v>
      </c>
      <c r="C639" s="10" t="s">
        <v>57</v>
      </c>
      <c r="D639" s="11" t="s">
        <v>60</v>
      </c>
      <c r="E639" s="12">
        <v>1208761.8</v>
      </c>
    </row>
    <row r="640" spans="1:5" x14ac:dyDescent="0.3">
      <c r="A640" s="10" t="s">
        <v>75</v>
      </c>
      <c r="B640" s="10">
        <v>2024</v>
      </c>
      <c r="C640" s="10" t="s">
        <v>57</v>
      </c>
      <c r="D640" s="11" t="s">
        <v>60</v>
      </c>
      <c r="E640" s="12">
        <v>1455499.6</v>
      </c>
    </row>
    <row r="641" spans="1:5" x14ac:dyDescent="0.3">
      <c r="A641" s="10" t="s">
        <v>75</v>
      </c>
      <c r="B641" s="10">
        <v>2025</v>
      </c>
      <c r="C641" s="10" t="s">
        <v>57</v>
      </c>
      <c r="D641" s="11" t="s">
        <v>60</v>
      </c>
      <c r="E641" s="12">
        <v>1698243.3</v>
      </c>
    </row>
    <row r="642" spans="1:5" x14ac:dyDescent="0.3">
      <c r="A642" s="10" t="s">
        <v>75</v>
      </c>
      <c r="B642" s="10">
        <v>2021</v>
      </c>
      <c r="C642" s="10" t="s">
        <v>57</v>
      </c>
      <c r="D642" s="11" t="s">
        <v>61</v>
      </c>
      <c r="E642" s="12">
        <v>874940.8</v>
      </c>
    </row>
    <row r="643" spans="1:5" x14ac:dyDescent="0.3">
      <c r="A643" s="10" t="s">
        <v>75</v>
      </c>
      <c r="B643" s="10">
        <v>2022</v>
      </c>
      <c r="C643" s="10" t="s">
        <v>57</v>
      </c>
      <c r="D643" s="11" t="s">
        <v>61</v>
      </c>
      <c r="E643" s="12">
        <v>876961.44</v>
      </c>
    </row>
    <row r="644" spans="1:5" x14ac:dyDescent="0.3">
      <c r="A644" s="10" t="s">
        <v>75</v>
      </c>
      <c r="B644" s="10">
        <v>2023</v>
      </c>
      <c r="C644" s="10" t="s">
        <v>57</v>
      </c>
      <c r="D644" s="11" t="s">
        <v>61</v>
      </c>
      <c r="E644" s="12">
        <v>913977.88</v>
      </c>
    </row>
    <row r="645" spans="1:5" x14ac:dyDescent="0.3">
      <c r="A645" s="10" t="s">
        <v>75</v>
      </c>
      <c r="B645" s="10">
        <v>2024</v>
      </c>
      <c r="C645" s="10" t="s">
        <v>57</v>
      </c>
      <c r="D645" s="11" t="s">
        <v>61</v>
      </c>
      <c r="E645" s="12">
        <v>964968.84</v>
      </c>
    </row>
    <row r="646" spans="1:5" x14ac:dyDescent="0.3">
      <c r="A646" s="10" t="s">
        <v>75</v>
      </c>
      <c r="B646" s="10">
        <v>2025</v>
      </c>
      <c r="C646" s="10" t="s">
        <v>57</v>
      </c>
      <c r="D646" s="11" t="s">
        <v>61</v>
      </c>
      <c r="E646" s="12">
        <v>1004260.2</v>
      </c>
    </row>
    <row r="647" spans="1:5" x14ac:dyDescent="0.3">
      <c r="A647" s="10" t="s">
        <v>75</v>
      </c>
      <c r="B647" s="10">
        <v>2021</v>
      </c>
      <c r="C647" s="10" t="s">
        <v>57</v>
      </c>
      <c r="D647" s="11" t="s">
        <v>62</v>
      </c>
      <c r="E647" s="12">
        <v>351455.38</v>
      </c>
    </row>
    <row r="648" spans="1:5" x14ac:dyDescent="0.3">
      <c r="A648" s="10" t="s">
        <v>75</v>
      </c>
      <c r="B648" s="10">
        <v>2022</v>
      </c>
      <c r="C648" s="10" t="s">
        <v>57</v>
      </c>
      <c r="D648" s="11" t="s">
        <v>62</v>
      </c>
      <c r="E648" s="12">
        <v>417684.68</v>
      </c>
    </row>
    <row r="649" spans="1:5" x14ac:dyDescent="0.3">
      <c r="A649" s="10" t="s">
        <v>75</v>
      </c>
      <c r="B649" s="10">
        <v>2023</v>
      </c>
      <c r="C649" s="10" t="s">
        <v>57</v>
      </c>
      <c r="D649" s="11" t="s">
        <v>62</v>
      </c>
      <c r="E649" s="12">
        <v>474210.75</v>
      </c>
    </row>
    <row r="650" spans="1:5" x14ac:dyDescent="0.3">
      <c r="A650" s="10" t="s">
        <v>75</v>
      </c>
      <c r="B650" s="10">
        <v>2024</v>
      </c>
      <c r="C650" s="10" t="s">
        <v>57</v>
      </c>
      <c r="D650" s="11" t="s">
        <v>62</v>
      </c>
      <c r="E650" s="12">
        <v>530410.19999999995</v>
      </c>
    </row>
    <row r="651" spans="1:5" x14ac:dyDescent="0.3">
      <c r="A651" s="10" t="s">
        <v>75</v>
      </c>
      <c r="B651" s="10">
        <v>2025</v>
      </c>
      <c r="C651" s="10" t="s">
        <v>57</v>
      </c>
      <c r="D651" s="11" t="s">
        <v>62</v>
      </c>
      <c r="E651" s="12">
        <v>545072.06999999995</v>
      </c>
    </row>
    <row r="652" spans="1:5" x14ac:dyDescent="0.3">
      <c r="A652" s="10" t="s">
        <v>75</v>
      </c>
      <c r="B652" s="10">
        <v>2021</v>
      </c>
      <c r="C652" s="10" t="s">
        <v>57</v>
      </c>
      <c r="D652" s="11" t="s">
        <v>63</v>
      </c>
      <c r="E652" s="12">
        <v>210352.77</v>
      </c>
    </row>
    <row r="653" spans="1:5" x14ac:dyDescent="0.3">
      <c r="A653" s="10" t="s">
        <v>75</v>
      </c>
      <c r="B653" s="10">
        <v>2022</v>
      </c>
      <c r="C653" s="10" t="s">
        <v>57</v>
      </c>
      <c r="D653" s="11" t="s">
        <v>63</v>
      </c>
      <c r="E653" s="12">
        <v>223018.95</v>
      </c>
    </row>
    <row r="654" spans="1:5" x14ac:dyDescent="0.3">
      <c r="A654" s="10" t="s">
        <v>75</v>
      </c>
      <c r="B654" s="10">
        <v>2023</v>
      </c>
      <c r="C654" s="10" t="s">
        <v>57</v>
      </c>
      <c r="D654" s="11" t="s">
        <v>63</v>
      </c>
      <c r="E654" s="12">
        <v>232428.12</v>
      </c>
    </row>
    <row r="655" spans="1:5" x14ac:dyDescent="0.3">
      <c r="A655" s="10" t="s">
        <v>75</v>
      </c>
      <c r="B655" s="10">
        <v>2024</v>
      </c>
      <c r="C655" s="10" t="s">
        <v>57</v>
      </c>
      <c r="D655" s="11" t="s">
        <v>63</v>
      </c>
      <c r="E655" s="12">
        <v>244020.72</v>
      </c>
    </row>
    <row r="656" spans="1:5" x14ac:dyDescent="0.3">
      <c r="A656" s="10" t="s">
        <v>75</v>
      </c>
      <c r="B656" s="10">
        <v>2025</v>
      </c>
      <c r="C656" s="10" t="s">
        <v>57</v>
      </c>
      <c r="D656" s="11" t="s">
        <v>63</v>
      </c>
      <c r="E656" s="12">
        <v>257461.87</v>
      </c>
    </row>
    <row r="657" spans="1:5" x14ac:dyDescent="0.3">
      <c r="A657" s="10" t="s">
        <v>75</v>
      </c>
      <c r="B657" s="10">
        <v>2021</v>
      </c>
      <c r="C657" s="10" t="s">
        <v>57</v>
      </c>
      <c r="D657" s="11" t="s">
        <v>64</v>
      </c>
      <c r="E657" s="12">
        <v>84122.06</v>
      </c>
    </row>
    <row r="658" spans="1:5" x14ac:dyDescent="0.3">
      <c r="A658" s="10" t="s">
        <v>75</v>
      </c>
      <c r="B658" s="10">
        <v>2022</v>
      </c>
      <c r="C658" s="10" t="s">
        <v>57</v>
      </c>
      <c r="D658" s="11" t="s">
        <v>64</v>
      </c>
      <c r="E658" s="12">
        <v>94767.58</v>
      </c>
    </row>
    <row r="659" spans="1:5" x14ac:dyDescent="0.3">
      <c r="A659" s="10" t="s">
        <v>75</v>
      </c>
      <c r="B659" s="10">
        <v>2023</v>
      </c>
      <c r="C659" s="10" t="s">
        <v>57</v>
      </c>
      <c r="D659" s="11" t="s">
        <v>64</v>
      </c>
      <c r="E659" s="12">
        <v>103802.93</v>
      </c>
    </row>
    <row r="660" spans="1:5" x14ac:dyDescent="0.3">
      <c r="A660" s="10" t="s">
        <v>75</v>
      </c>
      <c r="B660" s="10">
        <v>2024</v>
      </c>
      <c r="C660" s="10" t="s">
        <v>57</v>
      </c>
      <c r="D660" s="11" t="s">
        <v>64</v>
      </c>
      <c r="E660" s="12">
        <v>117940.92</v>
      </c>
    </row>
    <row r="661" spans="1:5" x14ac:dyDescent="0.3">
      <c r="A661" s="10" t="s">
        <v>75</v>
      </c>
      <c r="B661" s="10">
        <v>2025</v>
      </c>
      <c r="C661" s="10" t="s">
        <v>57</v>
      </c>
      <c r="D661" s="11" t="s">
        <v>64</v>
      </c>
      <c r="E661" s="12">
        <v>131392.14000000001</v>
      </c>
    </row>
    <row r="662" spans="1:5" x14ac:dyDescent="0.3">
      <c r="A662" s="10" t="s">
        <v>75</v>
      </c>
      <c r="B662" s="10">
        <v>2021</v>
      </c>
      <c r="C662" s="10" t="s">
        <v>57</v>
      </c>
      <c r="D662" s="11" t="s">
        <v>65</v>
      </c>
      <c r="E662" s="12">
        <v>533140.49</v>
      </c>
    </row>
    <row r="663" spans="1:5" x14ac:dyDescent="0.3">
      <c r="A663" s="10" t="s">
        <v>75</v>
      </c>
      <c r="B663" s="10">
        <v>2022</v>
      </c>
      <c r="C663" s="10" t="s">
        <v>57</v>
      </c>
      <c r="D663" s="11" t="s">
        <v>65</v>
      </c>
      <c r="E663" s="12">
        <v>527576.47</v>
      </c>
    </row>
    <row r="664" spans="1:5" x14ac:dyDescent="0.3">
      <c r="A664" s="10" t="s">
        <v>75</v>
      </c>
      <c r="B664" s="10">
        <v>2023</v>
      </c>
      <c r="C664" s="10" t="s">
        <v>57</v>
      </c>
      <c r="D664" s="11" t="s">
        <v>65</v>
      </c>
      <c r="E664" s="12">
        <v>553753.78</v>
      </c>
    </row>
    <row r="665" spans="1:5" x14ac:dyDescent="0.3">
      <c r="A665" s="10" t="s">
        <v>75</v>
      </c>
      <c r="B665" s="10">
        <v>2024</v>
      </c>
      <c r="C665" s="10" t="s">
        <v>57</v>
      </c>
      <c r="D665" s="11" t="s">
        <v>65</v>
      </c>
      <c r="E665" s="12">
        <v>587891.46</v>
      </c>
    </row>
    <row r="666" spans="1:5" x14ac:dyDescent="0.3">
      <c r="A666" s="10" t="s">
        <v>75</v>
      </c>
      <c r="B666" s="10">
        <v>2025</v>
      </c>
      <c r="C666" s="10" t="s">
        <v>57</v>
      </c>
      <c r="D666" s="11" t="s">
        <v>65</v>
      </c>
      <c r="E666" s="12">
        <v>649815.91</v>
      </c>
    </row>
    <row r="667" spans="1:5" x14ac:dyDescent="0.3">
      <c r="A667" s="10" t="s">
        <v>75</v>
      </c>
      <c r="B667" s="10">
        <v>2021</v>
      </c>
      <c r="C667" s="10" t="s">
        <v>57</v>
      </c>
      <c r="D667" s="11" t="s">
        <v>66</v>
      </c>
      <c r="E667" s="12">
        <v>224908.84</v>
      </c>
    </row>
    <row r="668" spans="1:5" x14ac:dyDescent="0.3">
      <c r="A668" s="10" t="s">
        <v>75</v>
      </c>
      <c r="B668" s="10">
        <v>2022</v>
      </c>
      <c r="C668" s="10" t="s">
        <v>57</v>
      </c>
      <c r="D668" s="11" t="s">
        <v>66</v>
      </c>
      <c r="E668" s="12">
        <v>229617.29</v>
      </c>
    </row>
    <row r="669" spans="1:5" x14ac:dyDescent="0.3">
      <c r="A669" s="10" t="s">
        <v>75</v>
      </c>
      <c r="B669" s="10">
        <v>2023</v>
      </c>
      <c r="C669" s="10" t="s">
        <v>57</v>
      </c>
      <c r="D669" s="11" t="s">
        <v>66</v>
      </c>
      <c r="E669" s="12">
        <v>230940.31</v>
      </c>
    </row>
    <row r="670" spans="1:5" x14ac:dyDescent="0.3">
      <c r="A670" s="10" t="s">
        <v>75</v>
      </c>
      <c r="B670" s="10">
        <v>2024</v>
      </c>
      <c r="C670" s="10" t="s">
        <v>57</v>
      </c>
      <c r="D670" s="11" t="s">
        <v>66</v>
      </c>
      <c r="E670" s="12">
        <v>243654.61</v>
      </c>
    </row>
    <row r="671" spans="1:5" x14ac:dyDescent="0.3">
      <c r="A671" s="10" t="s">
        <v>75</v>
      </c>
      <c r="B671" s="10">
        <v>2025</v>
      </c>
      <c r="C671" s="10" t="s">
        <v>57</v>
      </c>
      <c r="D671" s="11" t="s">
        <v>66</v>
      </c>
      <c r="E671" s="12">
        <v>268964.65999999997</v>
      </c>
    </row>
    <row r="672" spans="1:5" x14ac:dyDescent="0.3">
      <c r="A672" s="10" t="s">
        <v>75</v>
      </c>
      <c r="B672" s="10">
        <v>2021</v>
      </c>
      <c r="C672" s="10" t="s">
        <v>57</v>
      </c>
      <c r="D672" s="11" t="s">
        <v>67</v>
      </c>
      <c r="E672" s="12">
        <v>440604.63</v>
      </c>
    </row>
    <row r="673" spans="1:5" x14ac:dyDescent="0.3">
      <c r="A673" s="10" t="s">
        <v>75</v>
      </c>
      <c r="B673" s="10">
        <v>2022</v>
      </c>
      <c r="C673" s="10" t="s">
        <v>57</v>
      </c>
      <c r="D673" s="11" t="s">
        <v>67</v>
      </c>
      <c r="E673" s="12">
        <v>458999.65</v>
      </c>
    </row>
    <row r="674" spans="1:5" x14ac:dyDescent="0.3">
      <c r="A674" s="10" t="s">
        <v>75</v>
      </c>
      <c r="B674" s="10">
        <v>2023</v>
      </c>
      <c r="C674" s="10" t="s">
        <v>57</v>
      </c>
      <c r="D674" s="11" t="s">
        <v>67</v>
      </c>
      <c r="E674" s="12">
        <v>484075.44</v>
      </c>
    </row>
    <row r="675" spans="1:5" x14ac:dyDescent="0.3">
      <c r="A675" s="10" t="s">
        <v>75</v>
      </c>
      <c r="B675" s="10">
        <v>2024</v>
      </c>
      <c r="C675" s="10" t="s">
        <v>57</v>
      </c>
      <c r="D675" s="11" t="s">
        <v>67</v>
      </c>
      <c r="E675" s="12">
        <v>501955.32</v>
      </c>
    </row>
    <row r="676" spans="1:5" x14ac:dyDescent="0.3">
      <c r="A676" s="10" t="s">
        <v>75</v>
      </c>
      <c r="B676" s="10">
        <v>2025</v>
      </c>
      <c r="C676" s="10" t="s">
        <v>57</v>
      </c>
      <c r="D676" s="11" t="s">
        <v>67</v>
      </c>
      <c r="E676" s="12">
        <v>561731.87</v>
      </c>
    </row>
    <row r="677" spans="1:5" x14ac:dyDescent="0.3">
      <c r="A677" s="10" t="s">
        <v>75</v>
      </c>
      <c r="B677" s="10">
        <v>2021</v>
      </c>
      <c r="C677" s="10" t="s">
        <v>57</v>
      </c>
      <c r="D677" s="11" t="s">
        <v>68</v>
      </c>
      <c r="E677" s="12">
        <v>199873.34</v>
      </c>
    </row>
    <row r="678" spans="1:5" x14ac:dyDescent="0.3">
      <c r="A678" s="10" t="s">
        <v>75</v>
      </c>
      <c r="B678" s="10">
        <v>2022</v>
      </c>
      <c r="C678" s="10" t="s">
        <v>57</v>
      </c>
      <c r="D678" s="11" t="s">
        <v>68</v>
      </c>
      <c r="E678" s="12">
        <v>234323.91</v>
      </c>
    </row>
    <row r="679" spans="1:5" x14ac:dyDescent="0.3">
      <c r="A679" s="10" t="s">
        <v>75</v>
      </c>
      <c r="B679" s="10">
        <v>2023</v>
      </c>
      <c r="C679" s="10" t="s">
        <v>57</v>
      </c>
      <c r="D679" s="11" t="s">
        <v>68</v>
      </c>
      <c r="E679" s="12">
        <v>269463.75</v>
      </c>
    </row>
    <row r="680" spans="1:5" x14ac:dyDescent="0.3">
      <c r="A680" s="10" t="s">
        <v>75</v>
      </c>
      <c r="B680" s="10">
        <v>2024</v>
      </c>
      <c r="C680" s="10" t="s">
        <v>57</v>
      </c>
      <c r="D680" s="11" t="s">
        <v>68</v>
      </c>
      <c r="E680" s="12">
        <v>291246.90000000002</v>
      </c>
    </row>
    <row r="681" spans="1:5" x14ac:dyDescent="0.3">
      <c r="A681" s="10" t="s">
        <v>75</v>
      </c>
      <c r="B681" s="10">
        <v>2025</v>
      </c>
      <c r="C681" s="10" t="s">
        <v>57</v>
      </c>
      <c r="D681" s="11" t="s">
        <v>68</v>
      </c>
      <c r="E681" s="12">
        <v>324367.98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FA1C-8C38-4384-8657-3448B17DBD4B}">
  <dimension ref="A1:C26"/>
  <sheetViews>
    <sheetView workbookViewId="0">
      <selection activeCell="G18" sqref="G18"/>
    </sheetView>
  </sheetViews>
  <sheetFormatPr defaultRowHeight="14.4" x14ac:dyDescent="0.3"/>
  <cols>
    <col min="2" max="2" width="14.109375" customWidth="1"/>
    <col min="3" max="3" width="22.109375" customWidth="1"/>
  </cols>
  <sheetData>
    <row r="1" spans="1:3" x14ac:dyDescent="0.3">
      <c r="A1" s="9" t="s">
        <v>0</v>
      </c>
      <c r="B1" s="9" t="s">
        <v>77</v>
      </c>
      <c r="C1" s="9" t="s">
        <v>76</v>
      </c>
    </row>
    <row r="2" spans="1:3" x14ac:dyDescent="0.3">
      <c r="A2" s="2" t="s">
        <v>4</v>
      </c>
      <c r="B2" s="2" t="s">
        <v>2</v>
      </c>
      <c r="C2" s="3">
        <v>1628459</v>
      </c>
    </row>
    <row r="3" spans="1:3" x14ac:dyDescent="0.3">
      <c r="A3" s="2" t="s">
        <v>4</v>
      </c>
      <c r="B3" t="s">
        <v>3</v>
      </c>
      <c r="C3" s="3">
        <v>569261</v>
      </c>
    </row>
    <row r="4" spans="1:3" x14ac:dyDescent="0.3">
      <c r="A4" t="s">
        <v>4</v>
      </c>
      <c r="B4" t="s">
        <v>5</v>
      </c>
      <c r="C4" s="3">
        <v>537375</v>
      </c>
    </row>
    <row r="5" spans="1:3" x14ac:dyDescent="0.3">
      <c r="A5" t="s">
        <v>4</v>
      </c>
      <c r="B5" t="s">
        <v>6</v>
      </c>
      <c r="C5" s="3">
        <v>346679</v>
      </c>
    </row>
    <row r="6" spans="1:3" x14ac:dyDescent="0.3">
      <c r="A6" t="s">
        <v>4</v>
      </c>
      <c r="B6" t="s">
        <v>7</v>
      </c>
      <c r="C6" s="3">
        <v>208615</v>
      </c>
    </row>
    <row r="7" spans="1:3" x14ac:dyDescent="0.3">
      <c r="A7" t="s">
        <v>4</v>
      </c>
      <c r="B7" t="s">
        <v>8</v>
      </c>
      <c r="C7" s="3">
        <v>118861</v>
      </c>
    </row>
    <row r="8" spans="1:3" x14ac:dyDescent="0.3">
      <c r="A8" s="2" t="s">
        <v>9</v>
      </c>
      <c r="B8" s="2" t="s">
        <v>10</v>
      </c>
      <c r="C8" s="3">
        <v>251156</v>
      </c>
    </row>
    <row r="9" spans="1:3" x14ac:dyDescent="0.3">
      <c r="A9" s="2" t="s">
        <v>9</v>
      </c>
      <c r="B9" s="2" t="s">
        <v>11</v>
      </c>
      <c r="C9" s="3">
        <v>211331</v>
      </c>
    </row>
    <row r="10" spans="1:3" x14ac:dyDescent="0.3">
      <c r="A10" s="2" t="s">
        <v>9</v>
      </c>
      <c r="B10" s="2" t="s">
        <v>12</v>
      </c>
      <c r="C10" s="3">
        <v>105771</v>
      </c>
    </row>
    <row r="11" spans="1:3" x14ac:dyDescent="0.3">
      <c r="A11" s="2" t="s">
        <v>9</v>
      </c>
      <c r="B11" s="2" t="s">
        <v>13</v>
      </c>
      <c r="C11" s="3">
        <v>43538</v>
      </c>
    </row>
    <row r="12" spans="1:3" x14ac:dyDescent="0.3">
      <c r="A12" s="2" t="s">
        <v>9</v>
      </c>
      <c r="B12" s="2" t="s">
        <v>14</v>
      </c>
      <c r="C12" s="3">
        <v>43349</v>
      </c>
    </row>
    <row r="13" spans="1:3" x14ac:dyDescent="0.3">
      <c r="A13" s="2" t="s">
        <v>9</v>
      </c>
      <c r="B13" s="2" t="s">
        <v>15</v>
      </c>
      <c r="C13" s="3">
        <v>11188</v>
      </c>
    </row>
    <row r="14" spans="1:3" x14ac:dyDescent="0.3">
      <c r="A14" s="2" t="s">
        <v>9</v>
      </c>
      <c r="B14" s="2" t="s">
        <v>16</v>
      </c>
      <c r="C14" s="3">
        <v>4210</v>
      </c>
    </row>
    <row r="15" spans="1:3" x14ac:dyDescent="0.3">
      <c r="A15" s="2" t="s">
        <v>9</v>
      </c>
      <c r="B15" s="2" t="s">
        <v>17</v>
      </c>
      <c r="C15" s="3">
        <v>647</v>
      </c>
    </row>
    <row r="16" spans="1:3" x14ac:dyDescent="0.3">
      <c r="A16" s="2" t="s">
        <v>9</v>
      </c>
      <c r="B16" s="2" t="s">
        <v>18</v>
      </c>
      <c r="C16" s="3">
        <v>467</v>
      </c>
    </row>
    <row r="17" spans="1:3" x14ac:dyDescent="0.3">
      <c r="A17" s="2" t="s">
        <v>19</v>
      </c>
      <c r="B17" s="2" t="s">
        <v>20</v>
      </c>
      <c r="C17" s="3">
        <v>317523</v>
      </c>
    </row>
    <row r="18" spans="1:3" x14ac:dyDescent="0.3">
      <c r="A18" s="2" t="s">
        <v>19</v>
      </c>
      <c r="B18" s="2" t="s">
        <v>21</v>
      </c>
      <c r="C18" s="3">
        <v>279117</v>
      </c>
    </row>
    <row r="19" spans="1:3" x14ac:dyDescent="0.3">
      <c r="A19" s="2" t="s">
        <v>19</v>
      </c>
      <c r="B19" s="2" t="s">
        <v>22</v>
      </c>
      <c r="C19" s="3">
        <v>205927</v>
      </c>
    </row>
    <row r="20" spans="1:3" x14ac:dyDescent="0.3">
      <c r="A20" s="2" t="s">
        <v>19</v>
      </c>
      <c r="B20" s="2" t="s">
        <v>23</v>
      </c>
      <c r="C20" s="3">
        <v>204130</v>
      </c>
    </row>
    <row r="21" spans="1:3" x14ac:dyDescent="0.3">
      <c r="A21" s="2" t="s">
        <v>19</v>
      </c>
      <c r="B21" s="2" t="s">
        <v>24</v>
      </c>
      <c r="C21" s="3">
        <v>134409</v>
      </c>
    </row>
    <row r="22" spans="1:3" x14ac:dyDescent="0.3">
      <c r="A22" s="2" t="s">
        <v>19</v>
      </c>
      <c r="B22" s="2" t="s">
        <v>25</v>
      </c>
      <c r="C22" s="3">
        <v>98233</v>
      </c>
    </row>
    <row r="23" spans="1:3" x14ac:dyDescent="0.3">
      <c r="A23" s="2" t="s">
        <v>19</v>
      </c>
      <c r="B23" s="2" t="s">
        <v>26</v>
      </c>
      <c r="C23" s="3">
        <v>90247</v>
      </c>
    </row>
    <row r="24" spans="1:3" x14ac:dyDescent="0.3">
      <c r="A24" s="2" t="s">
        <v>27</v>
      </c>
      <c r="B24" s="2" t="s">
        <v>28</v>
      </c>
      <c r="C24" s="3">
        <v>274611</v>
      </c>
    </row>
    <row r="25" spans="1:3" x14ac:dyDescent="0.3">
      <c r="A25" s="2" t="s">
        <v>27</v>
      </c>
      <c r="B25" s="2" t="s">
        <v>29</v>
      </c>
      <c r="C25" s="3">
        <v>69571</v>
      </c>
    </row>
    <row r="26" spans="1:3" x14ac:dyDescent="0.3">
      <c r="A26" s="2" t="s">
        <v>30</v>
      </c>
      <c r="B26" s="2" t="s">
        <v>31</v>
      </c>
      <c r="C26" s="3">
        <v>32619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C58F-C75F-42A2-A5E3-244479FC4D75}">
  <dimension ref="A1:E10"/>
  <sheetViews>
    <sheetView tabSelected="1" workbookViewId="0">
      <selection activeCell="G19" sqref="G19"/>
    </sheetView>
  </sheetViews>
  <sheetFormatPr defaultRowHeight="14.4" x14ac:dyDescent="0.3"/>
  <cols>
    <col min="1" max="1" width="19.88671875" customWidth="1"/>
    <col min="3" max="3" width="15.21875" customWidth="1"/>
    <col min="4" max="4" width="34" customWidth="1"/>
  </cols>
  <sheetData>
    <row r="1" spans="1:5" x14ac:dyDescent="0.3">
      <c r="A1" s="9" t="s">
        <v>78</v>
      </c>
      <c r="B1" s="9" t="s">
        <v>38</v>
      </c>
      <c r="C1" s="9" t="s">
        <v>79</v>
      </c>
      <c r="D1" s="9" t="s">
        <v>80</v>
      </c>
      <c r="E1" s="9" t="s">
        <v>81</v>
      </c>
    </row>
    <row r="2" spans="1:5" x14ac:dyDescent="0.3">
      <c r="A2" t="s">
        <v>73</v>
      </c>
      <c r="B2">
        <v>2025</v>
      </c>
      <c r="C2" s="5">
        <v>18236.310000000001</v>
      </c>
      <c r="D2" s="12">
        <v>2691.02</v>
      </c>
      <c r="E2" s="13">
        <f>D2/C2*100</f>
        <v>14.756384378199316</v>
      </c>
    </row>
    <row r="3" spans="1:5" x14ac:dyDescent="0.3">
      <c r="A3" t="s">
        <v>69</v>
      </c>
      <c r="B3">
        <v>2025</v>
      </c>
      <c r="C3" s="14">
        <v>81663.17</v>
      </c>
      <c r="D3" s="12">
        <v>21746.7</v>
      </c>
      <c r="E3" s="13">
        <f>D3/C3*100</f>
        <v>26.629752433073566</v>
      </c>
    </row>
    <row r="4" spans="1:5" x14ac:dyDescent="0.3">
      <c r="A4" t="s">
        <v>72</v>
      </c>
      <c r="B4">
        <v>2025</v>
      </c>
      <c r="C4" s="14">
        <v>36116.870000000003</v>
      </c>
      <c r="D4" s="12">
        <v>9035.67</v>
      </c>
      <c r="E4" s="13">
        <f t="shared" ref="E4:E10" si="0">D4/C4*100</f>
        <v>25.01786561238557</v>
      </c>
    </row>
    <row r="5" spans="1:5" x14ac:dyDescent="0.3">
      <c r="A5" t="s">
        <v>75</v>
      </c>
      <c r="B5">
        <v>2025</v>
      </c>
      <c r="C5" s="14">
        <v>12003728.9</v>
      </c>
      <c r="D5" s="12">
        <v>1698243.3</v>
      </c>
      <c r="E5" s="13">
        <f t="shared" si="0"/>
        <v>14.147631241488634</v>
      </c>
    </row>
    <row r="6" spans="1:5" x14ac:dyDescent="0.3">
      <c r="A6" t="s">
        <v>70</v>
      </c>
      <c r="B6">
        <v>2025</v>
      </c>
      <c r="C6" s="5">
        <v>9155</v>
      </c>
      <c r="D6" s="12">
        <v>1303.07</v>
      </c>
      <c r="E6" s="15">
        <f t="shared" si="0"/>
        <v>14.233424358274165</v>
      </c>
    </row>
    <row r="7" spans="1:5" x14ac:dyDescent="0.3">
      <c r="A7" t="s">
        <v>74</v>
      </c>
      <c r="B7">
        <v>2025</v>
      </c>
      <c r="C7" s="14">
        <v>21804.41</v>
      </c>
      <c r="D7" s="12">
        <v>2237.37</v>
      </c>
      <c r="E7" s="15">
        <f t="shared" si="0"/>
        <v>10.261089385128971</v>
      </c>
    </row>
    <row r="8" spans="1:5" x14ac:dyDescent="0.3">
      <c r="A8" t="s">
        <v>71</v>
      </c>
      <c r="B8">
        <v>2025</v>
      </c>
      <c r="C8" s="14">
        <v>45120.51</v>
      </c>
      <c r="D8" s="12">
        <v>8084.8</v>
      </c>
      <c r="E8" s="15">
        <f t="shared" si="0"/>
        <v>17.918237183046024</v>
      </c>
    </row>
    <row r="9" spans="1:5" x14ac:dyDescent="0.3">
      <c r="A9" t="s">
        <v>48</v>
      </c>
      <c r="B9">
        <v>2025</v>
      </c>
      <c r="C9" s="14">
        <v>71099.12</v>
      </c>
      <c r="D9" s="12">
        <v>18728.53</v>
      </c>
      <c r="E9" s="15">
        <f t="shared" si="0"/>
        <v>26.34143713733728</v>
      </c>
    </row>
    <row r="10" spans="1:5" x14ac:dyDescent="0.3">
      <c r="A10" t="s">
        <v>82</v>
      </c>
      <c r="B10">
        <v>2025</v>
      </c>
      <c r="C10" s="14">
        <v>29983.84</v>
      </c>
      <c r="D10" s="14">
        <v>6257.23</v>
      </c>
      <c r="E10" s="15">
        <f t="shared" si="0"/>
        <v>20.868674592713941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negara_asal</vt:lpstr>
      <vt:lpstr>Pintu_masuk</vt:lpstr>
      <vt:lpstr>edges_sankey</vt:lpstr>
      <vt:lpstr>hirarki_pdrb</vt:lpstr>
      <vt:lpstr>hirarki_wilayah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hanif</dc:creator>
  <cp:lastModifiedBy>abdul hanif</cp:lastModifiedBy>
  <dcterms:created xsi:type="dcterms:W3CDTF">2026-10-04T10:40:36Z</dcterms:created>
  <dcterms:modified xsi:type="dcterms:W3CDTF">2026-10-04T17:53:28Z</dcterms:modified>
</cp:coreProperties>
</file>